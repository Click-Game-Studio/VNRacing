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CITY_LIST" sheetId="2" r:id="rId6"/>
    <sheet state="visible" name="ITEM_MASTER" sheetId="3" r:id="rId7"/>
    <sheet state="visible" name="VISUAL_DECALS" sheetId="4" r:id="rId8"/>
    <sheet state="visible" name="ITEM_VISUAL" sheetId="5" r:id="rId9"/>
    <sheet state="visible" name="CAR_REGISTRY" sheetId="6" r:id="rId10"/>
    <sheet state="visible" name="ITEM_PERF" sheetId="7" r:id="rId11"/>
    <sheet state="visible" name="CITY_LOOT_POOL" sheetId="8" r:id="rId12"/>
    <sheet state="visible" name="CHANGELOG" sheetId="9" r:id="rId13"/>
    <sheet state="visible" name="LOOTCRATE_TABLE" sheetId="10" r:id="rId14"/>
  </sheets>
  <definedNames>
    <definedName hidden="1" localSheetId="2" name="_xlnm._FilterDatabase">ITEM_MASTER!$A$1:$N$1</definedName>
    <definedName hidden="1" localSheetId="3" name="_xlnm._FilterDatabase">VISUAL_DECALS!$A$1:$AH$37</definedName>
    <definedName hidden="1" localSheetId="4" name="_xlnm._FilterDatabase">ITEM_VISUAL!$A$1:$L$1</definedName>
    <definedName hidden="1" localSheetId="5" name="_xlnm._FilterDatabase">CAR_REGISTRY!$A$1:$M$1</definedName>
    <definedName hidden="1" localSheetId="6" name="_xlnm._FilterDatabase">ITEM_PERF!$A$1:$N$1</definedName>
    <definedName hidden="1" localSheetId="7" name="_xlnm._FilterDatabase">CITY_LOOT_POOL!$A$2:$L$2</definedName>
    <definedName hidden="1" localSheetId="8" name="_xlnm._FilterDatabase">CHANGELOG!$A$1:$F$1</definedName>
    <definedName hidden="1" localSheetId="9" name="_xlnm._FilterDatabase">LOOTCRATE_TABLE!$A$1:$K$1</definedName>
  </definedNames>
  <calcPr/>
</workbook>
</file>

<file path=xl/sharedStrings.xml><?xml version="1.0" encoding="utf-8"?>
<sst xmlns="http://schemas.openxmlformats.org/spreadsheetml/2006/main" count="3501" uniqueCount="776">
  <si>
    <t>VNRacing — Item &amp; Car Master</t>
  </si>
  <si>
    <t>Nakama item_catalog · UE DataTable sync reference · GDD v2  |  Sheet v3</t>
  </si>
  <si>
    <t>Sheet</t>
  </si>
  <si>
    <t>Purpose</t>
  </si>
  <si>
    <t>Est. Rows</t>
  </si>
  <si>
    <t>Key FK</t>
  </si>
  <si>
    <t>ITEM_MASTER</t>
  </si>
  <si>
    <t>All Items Collections</t>
  </si>
  <si>
    <t>~170</t>
  </si>
  <si>
    <t>—</t>
  </si>
  <si>
    <t>SCHEMA GIẢI THÍCH (Tham khảo mối quan hệ)</t>
  </si>
  <si>
    <t>CAR_REGISTRY</t>
  </si>
  <si>
    <t>15 cars × city × archetype</t>
  </si>
  <si>
    <t>~3</t>
  </si>
  <si>
    <t>ITEM_VISUAL</t>
  </si>
  <si>
    <t>ccv items gắn với car_id FK</t>
  </si>
  <si>
    <t>~150</t>
  </si>
  <si>
    <t>car_id → CAR_REGISTRY</t>
  </si>
  <si>
    <t>ITEM_PERF</t>
  </si>
  <si>
    <t>ccp items generic (no car_id)</t>
  </si>
  <si>
    <t>~1</t>
  </si>
  <si>
    <t>---</t>
  </si>
  <si>
    <t>LOOT_TABLE</t>
  </si>
  <si>
    <t>Loot box drop pools + weight</t>
  </si>
  <si>
    <t>CHANGELOG</t>
  </si>
  <si>
    <t>Record Changes</t>
  </si>
  <si>
    <t>CITY_LOOT_POOL</t>
  </si>
  <si>
    <t>5-city loot pool (filter city_id)</t>
  </si>
  <si>
    <t>item_catalog_id → CATALOG_MASTER</t>
  </si>
  <si>
    <t>QUY TRÌNH UPDATE VÀ THÊM MỚI</t>
  </si>
  <si>
    <t>1. Update Item mới trong bảng Master Item, Update tất cả các trường</t>
  </si>
  <si>
    <t>2. Copy Item ID và Paste vào bảng Item Visual hay Item Performance tương ứng</t>
  </si>
  <si>
    <t>3. Điền thông tin còn lại trong các bảng Item Visual hay Item Performance</t>
  </si>
  <si>
    <t>4. UPDATE CÁC THAY ĐỔI VÀO CHANGELOG</t>
  </si>
  <si>
    <t>QUY TRÌNH XÓA</t>
  </si>
  <si>
    <t>1. Chuyển trạng thái Item thành Decaprated.</t>
  </si>
  <si>
    <t>2. KHÔNG ĐƯỢC PHÉP XÓA ITEM ĐÃ THÊM</t>
  </si>
  <si>
    <t>3. UPDATE CÁC THAY ĐỔI VÀO CHANGELOG</t>
  </si>
  <si>
    <t>ITEM ID STRUCTURE</t>
  </si>
  <si>
    <t>{category}_{subcategory}_{descriptor}_{nn}</t>
  </si>
  <si>
    <t>Segment</t>
  </si>
  <si>
    <t>Vai trò</t>
  </si>
  <si>
    <t>Format</t>
  </si>
  <si>
    <t>Ví dụ</t>
  </si>
  <si>
    <t>category</t>
  </si>
  <si>
    <t>Loại item (prefix)</t>
  </si>
  <si>
    <t>2–4 ký tự thường</t>
  </si>
  <si>
    <t>ccv  /  ccp  /  cur  /  loot</t>
  </si>
  <si>
    <t>subcategory</t>
  </si>
  <si>
    <t>Subtype trong category</t>
  </si>
  <si>
    <t>lowercase snake_case</t>
  </si>
  <si>
    <t>part  /  mat  /  bundle_cash</t>
  </si>
  <si>
    <t>descriptor</t>
  </si>
  <si>
    <t>Tên / biến thể cụ thể của item</t>
  </si>
  <si>
    <t>fb /  rb  /  wheel / body</t>
  </si>
  <si>
    <t>nn</t>
  </si>
  <si>
    <t>Running index (zero-padded)</t>
  </si>
  <si>
    <t>≥ 4 chữ số  |  0001→9999→00001</t>
  </si>
  <si>
    <t>0001  /  0002  /  …  /  00001</t>
  </si>
  <si>
    <t>Ví dụ đặt tên:</t>
  </si>
  <si>
    <t>ccv_part_fb_01</t>
  </si>
  <si>
    <t xml:space="preserve">  └─ ccv</t>
  </si>
  <si>
    <t>Car Customize Visual</t>
  </si>
  <si>
    <t xml:space="preserve">  └─ part</t>
  </si>
  <si>
    <t>Visual Parts</t>
  </si>
  <si>
    <t xml:space="preserve">  └─ fb</t>
  </si>
  <si>
    <t>Tên item cụ thể</t>
  </si>
  <si>
    <t xml:space="preserve">  └─ 01</t>
  </si>
  <si>
    <t>Running index #1</t>
  </si>
  <si>
    <t>Quy tắc bắt buộc</t>
  </si>
  <si>
    <t>Regex</t>
  </si>
  <si>
    <t>^[a-z][a-z0-9_]{2,63}$   |   Max 64 ký tự   |   Chỉ chữ thường + số + dấu _</t>
  </si>
  <si>
    <t>Immutable</t>
  </si>
  <si>
    <t>catalog_id KHÔNG được đổi tên sau khi release → chỉ DEPRECATE, ghi CHANGELOG</t>
  </si>
  <si>
    <t>No reuse</t>
  </si>
  <si>
    <t>ID đã deprecated → không tái sử dụng, tạo ID mới với index tiếp theo</t>
  </si>
  <si>
    <r>
      <rPr>
        <rFont val="Arial"/>
        <b/>
        <color rgb="FF117A65"/>
        <sz val="14.0"/>
      </rPr>
      <t>VNRacing — City List (</t>
    </r>
    <r>
      <rPr>
        <rFont val="Arial"/>
        <b/>
        <color rgb="FFFF0000"/>
        <sz val="14.0"/>
      </rPr>
      <t>City List dự kiến</t>
    </r>
    <r>
      <rPr>
        <rFont val="Arial"/>
        <b/>
        <color rgb="FF117A65"/>
        <sz val="14.0"/>
      </rPr>
      <t>)</t>
    </r>
  </si>
  <si>
    <t>5 thành phố theo thứ tự unlock · CR range tham chiếu từ Vehicle Stat System v2.1</t>
  </si>
  <si>
    <t>unlock_order</t>
  </si>
  <si>
    <t>city_id</t>
  </si>
  <si>
    <t>city_name_VN</t>
  </si>
  <si>
    <t>city_name_EN</t>
  </si>
  <si>
    <t>CR_min</t>
  </si>
  <si>
    <t>CR_max</t>
  </si>
  <si>
    <t>notes</t>
  </si>
  <si>
    <t>DN</t>
  </si>
  <si>
    <t>Đà Nẵng</t>
  </si>
  <si>
    <t>Da Nang</t>
  </si>
  <si>
    <t>Thành phố mở đầu · Starter car unlock · CR 0–6</t>
  </si>
  <si>
    <t>HU</t>
  </si>
  <si>
    <t>Huế</t>
  </si>
  <si>
    <t>Hue Ancient Capital</t>
  </si>
  <si>
    <t>CR 4–9 · Beach circuit · Mid-early progression</t>
  </si>
  <si>
    <t>NT</t>
  </si>
  <si>
    <t>Nha Trang</t>
  </si>
  <si>
    <t>CR 7–12 · Coastal highway · Mid game</t>
  </si>
  <si>
    <t>HCM</t>
  </si>
  <si>
    <t>Hồ Chí Minh</t>
  </si>
  <si>
    <t>Ho Chi Minh</t>
  </si>
  <si>
    <t>CR 10–15 · Urban circuit · Late game</t>
  </si>
  <si>
    <t>PQ</t>
  </si>
  <si>
    <t>Phú Quốc</t>
  </si>
  <si>
    <t>Phu Quoc</t>
  </si>
  <si>
    <t>CR 13–18 · Island endgame · Max progression</t>
  </si>
  <si>
    <t>CR Range tham chiếu: Early game CR 0–6  ·  Mid game CR 6–12  ·  Late game CR 12–18</t>
  </si>
  <si>
    <t>PHASE REFERENCE</t>
  </si>
  <si>
    <t>Phase</t>
  </si>
  <si>
    <t>Cities</t>
  </si>
  <si>
    <t>CR Range</t>
  </si>
  <si>
    <t>WinRate Target</t>
  </si>
  <si>
    <t>Difficulty</t>
  </si>
  <si>
    <t>Early</t>
  </si>
  <si>
    <t>DN → HU</t>
  </si>
  <si>
    <t>CR 0–6</t>
  </si>
  <si>
    <t>0.55–0.70</t>
  </si>
  <si>
    <t>Easy — player wins often</t>
  </si>
  <si>
    <t>Mid</t>
  </si>
  <si>
    <t>NT → HCM</t>
  </si>
  <si>
    <t>CR 6–12</t>
  </si>
  <si>
    <t>0.45–0.60</t>
  </si>
  <si>
    <t>Balanced — skill gap widens</t>
  </si>
  <si>
    <t>Late</t>
  </si>
  <si>
    <t>HCM → PQ</t>
  </si>
  <si>
    <t>CR 12–18</t>
  </si>
  <si>
    <t>0.35–0.50</t>
  </si>
  <si>
    <t>Hard — upgrade pressure max</t>
  </si>
  <si>
    <t>item_id</t>
  </si>
  <si>
    <t>display_name_EN</t>
  </si>
  <si>
    <t>display_name_VN</t>
  </si>
  <si>
    <t>on_use_effect</t>
  </si>
  <si>
    <t>rarity</t>
  </si>
  <si>
    <t>status</t>
  </si>
  <si>
    <t>unlock_source</t>
  </si>
  <si>
    <t>file_path</t>
  </si>
  <si>
    <t>icon_path</t>
  </si>
  <si>
    <t>shop_exclusive</t>
  </si>
  <si>
    <t>reward_eligibles</t>
  </si>
  <si>
    <t>SoT cho item definition · Hướng B: sheet con chỉ lưu trường đặc thù, display_name kéo về bằng VLOOKUP · catalog_id immutable sau release</t>
  </si>
  <si>
    <t>── Car Customize Visual  (ccv) ──</t>
  </si>
  <si>
    <t>ccv_part_fb_0001</t>
  </si>
  <si>
    <t>ccv</t>
  </si>
  <si>
    <t>part</t>
  </si>
  <si>
    <t>Front Bumper Basic</t>
  </si>
  <si>
    <t>Cản Trước Tiêu Chuẩn</t>
  </si>
  <si>
    <t>Common</t>
  </si>
  <si>
    <t>unreleased</t>
  </si>
  <si>
    <t>Car Defaults</t>
  </si>
  <si>
    <t>/Content/Vehicles/Lux_A/Mesh/FrontBumper/SM_LuxA_FrontBumper_Basic.uasset</t>
  </si>
  <si>
    <t>path_i</t>
  </si>
  <si>
    <t>ccv_part_rb_0001</t>
  </si>
  <si>
    <t>Rear Bumper Basic</t>
  </si>
  <si>
    <t>Cản Sau Tiêu Chuẩn</t>
  </si>
  <si>
    <t>/Content/Vehicles/Lux_A/Mesh/RearBumper/SM_LuxA_RearBumper_Basic.uasset</t>
  </si>
  <si>
    <t>ccv_part_sp_0001</t>
  </si>
  <si>
    <t>Spoiler Basic</t>
  </si>
  <si>
    <t>Cánh Gió Tiêu Chuẩn</t>
  </si>
  <si>
    <t>/Content/Vehicles/Lux_A/Mesh/Spoiler/SM_LuxA_Spoiler_Basic.uasset</t>
  </si>
  <si>
    <t>ccv_part_ro_0001</t>
  </si>
  <si>
    <t>Roof Panel Basic</t>
  </si>
  <si>
    <t>Nóc Xe Tiêu Chuẩn</t>
  </si>
  <si>
    <t>/Content/Vehicles/Lux_A/Mesh/Roof/SM_LuxA_Roof_Basic.uasset</t>
  </si>
  <si>
    <t>ccv_part_wheel_0001</t>
  </si>
  <si>
    <t>Wheel Basic</t>
  </si>
  <si>
    <t>Mâm Tiêu Chuẩn</t>
  </si>
  <si>
    <t>/Content/Vehicles/Lux_A/Mesh/Wheel/SM_LuxA_Wheels_Basic.uasset</t>
  </si>
  <si>
    <t>ccv_part_ss_0001</t>
  </si>
  <si>
    <t>Side Skirt Basic</t>
  </si>
  <si>
    <t>Ốp Sườn Tiêu Chuẩn</t>
  </si>
  <si>
    <t>/Content/Vehicles/Lux_A/Mesh/SideSkirt/SM_LuxA_SideBoard_Basic.uasset</t>
  </si>
  <si>
    <t>ccv_part_fb_0002</t>
  </si>
  <si>
    <t>Front Bumper Sport</t>
  </si>
  <si>
    <t>Cản Trước Thể Thao</t>
  </si>
  <si>
    <t>UnCommon</t>
  </si>
  <si>
    <t>Post-Race Rewards</t>
  </si>
  <si>
    <t>/Content/Vehicles/Lux_A/Mesh/FrontBumper/SM_LuxA_FrontBumper_Sport.uasset</t>
  </si>
  <si>
    <t>ccv_part_rb_0002</t>
  </si>
  <si>
    <t>Rear Bumper Sport</t>
  </si>
  <si>
    <t>Cản Sau Thể Thao</t>
  </si>
  <si>
    <t>/Content/Vehicles/Lux_A/Mesh/RearBumper/SM_LuxA_RearBumper_Sport.uasset</t>
  </si>
  <si>
    <t>ccv_part_sp_0002</t>
  </si>
  <si>
    <t>Spoiler Sport</t>
  </si>
  <si>
    <t>Cánh Gió Thể Thao</t>
  </si>
  <si>
    <t>/Content/Vehicles/Lux_A/Mesh/Spoiler/SM_LuxA_Spoiler_Sport.uasset</t>
  </si>
  <si>
    <t>ccv_part_ro_0002</t>
  </si>
  <si>
    <t>Roof Panel Sport</t>
  </si>
  <si>
    <t>Nóc Xe Thể Thao</t>
  </si>
  <si>
    <t>/Content/Vehicles/Lux_A/Mesh/Roof/SM_LuxA_Roof_Sport.uasset</t>
  </si>
  <si>
    <t>ccv_part_wheel_0002</t>
  </si>
  <si>
    <t>Wheel Sport</t>
  </si>
  <si>
    <t>Mâm Thể Thao</t>
  </si>
  <si>
    <t>/Content/Vehicles/Lux_A/Mesh/Wheel/SM_LuxA_Wheel_Sport.uasset</t>
  </si>
  <si>
    <t>ccv_part_ss_0002</t>
  </si>
  <si>
    <t>Side Skirt Sport</t>
  </si>
  <si>
    <t>Ốp Sườn Thể Thao</t>
  </si>
  <si>
    <t>/Content/Vehicles/Lux_A/Mesh/SideSkirt/SM_LuxA_SideBoard_Sport.uasset</t>
  </si>
  <si>
    <t>ccv_part_fb_0003</t>
  </si>
  <si>
    <t>Front Bumper Luxury</t>
  </si>
  <si>
    <t>Cản Trước Cao Cấp</t>
  </si>
  <si>
    <t>Rare</t>
  </si>
  <si>
    <t>/Content/Vehicles/Lux_A/Mesh/FrontBumper/SM_LuxA_FrontBumper_Luxury.uasset</t>
  </si>
  <si>
    <t>ccv_part_rb_0003</t>
  </si>
  <si>
    <t>Rear Bumper Luxury</t>
  </si>
  <si>
    <t>Cản Sau Cao Cấp</t>
  </si>
  <si>
    <t>/Content/Vehicles/Lux_A/Mesh/RearBumper/SM_LuxA_RearBumper_Luxury.uasset</t>
  </si>
  <si>
    <t>ccv_part_sp_0003</t>
  </si>
  <si>
    <t>Spoiler Luxury</t>
  </si>
  <si>
    <t>Cánh Gió Cao Cấp</t>
  </si>
  <si>
    <t>/Content/Vehicles/Lux_A/Mesh/Spoiler/SM_LuxA_Spoiler_Luxury.uasset</t>
  </si>
  <si>
    <t>ccv_part_ro_0003</t>
  </si>
  <si>
    <t>Roof Panel Luxury</t>
  </si>
  <si>
    <t>Nóc Xe Cao Cấp</t>
  </si>
  <si>
    <t>/Content/Vehicles/Lux_A/Mesh/Roof/SM_LuxA_Roof_Luxury.uasset</t>
  </si>
  <si>
    <t>ccv_part_wheel_0003</t>
  </si>
  <si>
    <t>Wheel Luxury</t>
  </si>
  <si>
    <t>Mâm Cao Cấp</t>
  </si>
  <si>
    <t>/Content/Vehicles/Lux_A/Mesh/Wheel/SM_LuxA_Wheel_Luxury.uasset</t>
  </si>
  <si>
    <t>ccv_part_ss_0003</t>
  </si>
  <si>
    <t>Side Skirt Luxury</t>
  </si>
  <si>
    <t>Ốp Sườn Cao Cấp</t>
  </si>
  <si>
    <t>/Content/Vehicles/Lux_A/Mesh/SideSkirt/SM_LuxA_SideBoard_Luxury.uasset</t>
  </si>
  <si>
    <t>ccv_part_fb_0004</t>
  </si>
  <si>
    <t>/Content/Vehicles/VF8/Mesh/FrontBumper/SM_VF8_FrontBumper_Basic.uasset</t>
  </si>
  <si>
    <t>ccv_part_rb_0004</t>
  </si>
  <si>
    <t>/Content/Vehicles/VF8/Mesh/RearBumper/SM_VF8_RearBumper_Basic.uasset</t>
  </si>
  <si>
    <t>ccv_part_sp_0004</t>
  </si>
  <si>
    <t>/Content/Vehicles/VF8/Mesh/Spoiler/SM_VF8_Spoiler_Basic.uasset</t>
  </si>
  <si>
    <t>ccv_part_ro_0004</t>
  </si>
  <si>
    <t>/Content/Vehicles/VF8/Mesh/Roof/SM_VF8_Roof_Basic.uasset</t>
  </si>
  <si>
    <t>ccv_part_wheel_0004</t>
  </si>
  <si>
    <t>/Content/Vehicles/VF8/Mesh/Wheel/SM_VF8_Wheels_Basic.uasset</t>
  </si>
  <si>
    <t>ccv_part_ss_0004</t>
  </si>
  <si>
    <t>/Content/Vehicles/VF8/Mesh/SideSkirt/SM_VF8_SideBoard_Basic.uasset</t>
  </si>
  <si>
    <t>ccv_part_fb_0005</t>
  </si>
  <si>
    <t>/Content/Vehicles/VF8/Mesh/FrontBumper/SM_VF8_FrontBumper_Sport.uasset</t>
  </si>
  <si>
    <t>ccv_part_rb_0005</t>
  </si>
  <si>
    <t>/Content/Vehicles/VF8/Mesh/RearBumper/SM_VF8_RearBumper_Sport.uasset</t>
  </si>
  <si>
    <t>ccv_part_sp_0005</t>
  </si>
  <si>
    <t>/Content/Vehicles/VF8/Mesh/Spoiler/SM_VF8_Spoiler_Sport.uasset</t>
  </si>
  <si>
    <t>ccv_part_ro_0005</t>
  </si>
  <si>
    <t>/Content/Vehicles/VF8/Mesh/Roof/SM_VF8_Roof_Sport.uasset</t>
  </si>
  <si>
    <t>ccv_part_wheel_0005</t>
  </si>
  <si>
    <t>/Content/Vehicles/VF8/Mesh/Wheel/SM_VF8_Wheels_Sport.uasset</t>
  </si>
  <si>
    <t>ccv_part_ss_0005</t>
  </si>
  <si>
    <t>/Content/Vehicles/VF8/Mesh/SideSkirt/SM_VF8_SideBoard_Sport.uasset</t>
  </si>
  <si>
    <t>ccv_part_fb_0006</t>
  </si>
  <si>
    <t>/Content/Vehicles/VF8/Mesh/FrontBumper/SM_VF8_FrontBumper_Luxury.uasset</t>
  </si>
  <si>
    <t>ccv_part_rb_0006</t>
  </si>
  <si>
    <t>/Content/Vehicles/VF8/Mesh/RearBumper/SM_VF8_RearBumper_Luxury.uasset</t>
  </si>
  <si>
    <t>ccv_part_sp_0006</t>
  </si>
  <si>
    <t>/Content/Vehicles/VF8/Mesh/Spoiler/SM_VF8_Spoiler_Luxury.uasset</t>
  </si>
  <si>
    <t>ccv_part_ro_0006</t>
  </si>
  <si>
    <t>/Content/Vehicles/VF8/Mesh/Roof/SM_VF8_Roof_Luxury.uasset</t>
  </si>
  <si>
    <t>ccv_part_wheel_0006</t>
  </si>
  <si>
    <t>/Content/Vehicles/VF8/Mesh/Wheel/SM_VF8_Wheels_Luxury.uasset</t>
  </si>
  <si>
    <t>ccv_part_ss_0006</t>
  </si>
  <si>
    <t>/Content/Vehicles/VF8/Mesh/SideSkirt/SM_VF8_SideBoard_Luxury.uasset</t>
  </si>
  <si>
    <t>ccv_part_fb_0007</t>
  </si>
  <si>
    <t>/Content/Vehicles/MercedesBenz_AMG_GT_R/Meshs/FrontBumper/SM_Mercedes_Benz_AMG_GT_FrontBumper.uasset</t>
  </si>
  <si>
    <t>ccv_part_rb_0007</t>
  </si>
  <si>
    <t>/Content/Vehicles/MercedesBenz_AMG_GT_R/Meshs/RearBumper/SM_Mercedes_Benz_AMG_GT_RearBumper.uasset</t>
  </si>
  <si>
    <t>ccv_part_sp_0007</t>
  </si>
  <si>
    <t>/Content/Vehicles/MercedesBenz_AMG_GT_R/Meshs/Spoiler/SM_Mercedes_Benz_AMG_GT_Spoiler.uasset</t>
  </si>
  <si>
    <t>ccv_part_ro_0007</t>
  </si>
  <si>
    <t>/Content/Vehicles/MercedesBenz_AMG_GT_R/Meshs/Roof/SM_Mercedes_Benz_AMG_GT_Roof.uasset</t>
  </si>
  <si>
    <t>ccv_part_wheel_0007</t>
  </si>
  <si>
    <t>/Content/Vehicles/MercedesBenz_AMG_GT_R/Meshs/Wheel/SM_AMG_Wheels_Basic.uasset</t>
  </si>
  <si>
    <t>ccv_part_ss_0007</t>
  </si>
  <si>
    <t>/Content/Vehicles/MercedesBenz_AMG_GT_R/Meshs/SideSkirt/SM_Mercedes_Benz_AMG_GT_SideBoard.uasset</t>
  </si>
  <si>
    <t>ccv_part_fb_0008</t>
  </si>
  <si>
    <t>/Content/Vehicles/MercedesBenz_AMG_GT_R/Meshs/FrontBumper/SM_AMG_FrontBumper_Sport.uasset</t>
  </si>
  <si>
    <t>ccv_part_rb_0008</t>
  </si>
  <si>
    <t>/Content/Vehicles/MercedesBenz_AMG_GT_R/Meshs/RearBumper/SM_AMG_RearBumper_Sport.uasset</t>
  </si>
  <si>
    <t>ccv_part_sp_0008</t>
  </si>
  <si>
    <t>/Content/Vehicles/MercedesBenz_AMG_GT_R/Meshs/Spoiler/SM_AMG_Spoiler_Sport.uasset</t>
  </si>
  <si>
    <t>ccv_part_ro_0008</t>
  </si>
  <si>
    <t>/Content/Vehicles/MercedesBenz_AMG_GT_R/Meshs/Roof/SM_AMG_Roof_Sport.uasset</t>
  </si>
  <si>
    <t>ccv_part_wheel_0008</t>
  </si>
  <si>
    <t>/Content/Vehicles/MercedesBenz_AMG_GT_R/Meshs/Wheel/SM_AMG_Wheels_Sport.uasset</t>
  </si>
  <si>
    <t>ccv_part_ss_0008</t>
  </si>
  <si>
    <t>/Content/Vehicles/MercedesBenz_AMG_GT_R/Meshs/SideSkirt/SM_AMG_SideBoard_Sport.uasset</t>
  </si>
  <si>
    <t>ccv_part_fb_0009</t>
  </si>
  <si>
    <t>/Content/Vehicles/MercedesBenz_AMG_GT_R/Meshs/FrontBumper/SM_AMG_FrontBumper_Luxury.uasset</t>
  </si>
  <si>
    <t>ccv_part_rb_0009</t>
  </si>
  <si>
    <t>/Content/Vehicles/MercedesBenz_AMG_GT_R/Meshs/RearBumper/SM_AMG_RearBumper_Luxury.uasset</t>
  </si>
  <si>
    <t>ccv_part_sp_0009</t>
  </si>
  <si>
    <t>/Content/Vehicles/MercedesBenz_AMG_GT_R/Meshs/Spoiler/SM_AMG_Spoiler_Luxury.uasset</t>
  </si>
  <si>
    <t>ccv_part_ro_0009</t>
  </si>
  <si>
    <t>/Content/Vehicles/MercedesBenz_AMG_GT_R/Meshs/Roof/SM_AMG_Roof_Luxury.uasset</t>
  </si>
  <si>
    <t>ccv_part_wheel_0009</t>
  </si>
  <si>
    <t>/Content/Vehicles/MercedesBenz_AMG_GT_R/Meshs/Wheel/SM_AMG_Wheels_Luxury.uasset</t>
  </si>
  <si>
    <t>ccv_part_ss_0009</t>
  </si>
  <si>
    <t>/Content/Vehicles/MercedesBenz_AMG_GT_R/Meshs/SideSkirt/SM_AMG_SideBoard_Luxury.uasset</t>
  </si>
  <si>
    <t>ccv_mat_body_0001</t>
  </si>
  <si>
    <t>mat_body</t>
  </si>
  <si>
    <t>Metallic Paint #1</t>
  </si>
  <si>
    <t>Sơn Kim Loại #1</t>
  </si>
  <si>
    <t>ccv_mat_body_0002</t>
  </si>
  <si>
    <t>Metallic Paint #2</t>
  </si>
  <si>
    <t>Sơn Kim Loại #2</t>
  </si>
  <si>
    <t>ccv_mat_body_0003</t>
  </si>
  <si>
    <t>Metallic Paint #3</t>
  </si>
  <si>
    <t>Sơn Kim Loại #3</t>
  </si>
  <si>
    <t>ccv_mat_body_0004</t>
  </si>
  <si>
    <t>Glossy Paint #1</t>
  </si>
  <si>
    <t>Sơn Bóng #1</t>
  </si>
  <si>
    <t>ccv_mat_body_0005</t>
  </si>
  <si>
    <t>Glossy Paint #2</t>
  </si>
  <si>
    <t>Sơn Bóng #2</t>
  </si>
  <si>
    <t>ccv_mat_body_0006</t>
  </si>
  <si>
    <t>Glossy Paint #3</t>
  </si>
  <si>
    <t>Sơn Bóng #3</t>
  </si>
  <si>
    <t>ccv_mat_body_0007</t>
  </si>
  <si>
    <t>Matte Paint #1</t>
  </si>
  <si>
    <t>Sơn Nhẵn #1</t>
  </si>
  <si>
    <t>ccv_mat_body_0008</t>
  </si>
  <si>
    <t>Matte Paint #2</t>
  </si>
  <si>
    <t>Sơn Nhẵn #2</t>
  </si>
  <si>
    <t>ccv_mat_body_0009</t>
  </si>
  <si>
    <t>Matte Paint #3</t>
  </si>
  <si>
    <t>Sơn Nhẵn #3</t>
  </si>
  <si>
    <t>ccv_mat_body_0010</t>
  </si>
  <si>
    <t>Pearlescent Paint #1</t>
  </si>
  <si>
    <t>Sơn Pearlescent #1</t>
  </si>
  <si>
    <t>ccv_mat_body_0011</t>
  </si>
  <si>
    <t>Pearlescent Paint #2</t>
  </si>
  <si>
    <t>Sơn Pearlescent #2</t>
  </si>
  <si>
    <t>ccv_mat_body_0012</t>
  </si>
  <si>
    <t>Pearlescent Paint #3</t>
  </si>
  <si>
    <t>Sơn Pearlescent #3</t>
  </si>
  <si>
    <t>ccv_mat_body_0013</t>
  </si>
  <si>
    <t>Chameleon Paint #1</t>
  </si>
  <si>
    <t>Sơn Chameleon #1</t>
  </si>
  <si>
    <t>ccv_mat_body_0014</t>
  </si>
  <si>
    <t>Chameleon Paint #2</t>
  </si>
  <si>
    <t>Sơn Chameleon #2</t>
  </si>
  <si>
    <t>ccv_mat_body_0015</t>
  </si>
  <si>
    <t>Chameleon Paint #3</t>
  </si>
  <si>
    <t>Sơn Chameleon #3</t>
  </si>
  <si>
    <t>ccv_mat_body_0016</t>
  </si>
  <si>
    <t>ccv_mat_body_0017</t>
  </si>
  <si>
    <t>ccv_mat_body_0018</t>
  </si>
  <si>
    <t>ccv_mat_body_0019</t>
  </si>
  <si>
    <t>ccv_mat_body_0020</t>
  </si>
  <si>
    <t>ccv_mat_body_0021</t>
  </si>
  <si>
    <t>ccv_mat_body_0022</t>
  </si>
  <si>
    <t>ccv_mat_body_0023</t>
  </si>
  <si>
    <t>ccv_mat_body_0024</t>
  </si>
  <si>
    <t>ccv_mat_body_0025</t>
  </si>
  <si>
    <t>ccv_mat_body_0026</t>
  </si>
  <si>
    <t>ccv_mat_body_0027</t>
  </si>
  <si>
    <t>ccv_mat_body_0028</t>
  </si>
  <si>
    <t>ccv_mat_body_0029</t>
  </si>
  <si>
    <t>ccv_mat_body_0030</t>
  </si>
  <si>
    <t>ccv_mat_body_0031</t>
  </si>
  <si>
    <t>ccv_mat_body_0032</t>
  </si>
  <si>
    <t>ccv_mat_body_0033</t>
  </si>
  <si>
    <t>ccv_mat_body_0034</t>
  </si>
  <si>
    <t>ccv_mat_body_0035</t>
  </si>
  <si>
    <t>ccv_mat_body_0036</t>
  </si>
  <si>
    <t>ccv_mat_body_0037</t>
  </si>
  <si>
    <t>ccv_mat_body_0038</t>
  </si>
  <si>
    <t>ccv_mat_body_0039</t>
  </si>
  <si>
    <t>ccv_mat_body_0040</t>
  </si>
  <si>
    <t>ccv_mat_body_0041</t>
  </si>
  <si>
    <t>ccv_mat_body_0042</t>
  </si>
  <si>
    <t>ccv_mat_body_0043</t>
  </si>
  <si>
    <t>ccv_mat_body_0044</t>
  </si>
  <si>
    <t>ccv_mat_body_0045</t>
  </si>
  <si>
    <t>ccv_mat_wheel_0001</t>
  </si>
  <si>
    <t>mat_wheel</t>
  </si>
  <si>
    <t>Metallic Wheel #1</t>
  </si>
  <si>
    <t>Mâm Kim Loại #1</t>
  </si>
  <si>
    <t>ccv_mat_wheel_0002</t>
  </si>
  <si>
    <t>Metallic Wheel #2</t>
  </si>
  <si>
    <t>Mâm Kim Loại #2</t>
  </si>
  <si>
    <t>ccv_mat_wheel_0003</t>
  </si>
  <si>
    <t>Metallic Wheel #3</t>
  </si>
  <si>
    <t>Mâm Kim Loại #3</t>
  </si>
  <si>
    <t>ccv_mat_wheel_0004</t>
  </si>
  <si>
    <t>Pearlescent Wheel #1</t>
  </si>
  <si>
    <t>Mâm Pearlescent #1</t>
  </si>
  <si>
    <t>ccv_mat_wheel_0005</t>
  </si>
  <si>
    <t>Pearlescent Wheel #2</t>
  </si>
  <si>
    <t>Mâm Pearlescent #2</t>
  </si>
  <si>
    <t>ccv_mat_wheel_0006</t>
  </si>
  <si>
    <t>Pearlescent Wheel #3</t>
  </si>
  <si>
    <t>Mâm Pearlescent #3</t>
  </si>
  <si>
    <t>ccv_mat_wheel_0007</t>
  </si>
  <si>
    <t>Chameleon Wheel #1</t>
  </si>
  <si>
    <t>Mâm Chameleon #1</t>
  </si>
  <si>
    <t>ccv_mat_wheel_0008</t>
  </si>
  <si>
    <t>Chameleon Wheel #2</t>
  </si>
  <si>
    <t>Mâm Chameleon #2</t>
  </si>
  <si>
    <t>ccv_mat_wheel_0009</t>
  </si>
  <si>
    <t>Chameleon Wheel #3</t>
  </si>
  <si>
    <t>Mâm Chameleon #3</t>
  </si>
  <si>
    <t>ccv_mat_wheel_0010</t>
  </si>
  <si>
    <t>ccv_mat_wheel_0011</t>
  </si>
  <si>
    <t>ccv_mat_wheel_0012</t>
  </si>
  <si>
    <t>ccv_mat_wheel_0013</t>
  </si>
  <si>
    <t>ccv_mat_wheel_0014</t>
  </si>
  <si>
    <t>ccv_mat_wheel_0015</t>
  </si>
  <si>
    <t>ccv_mat_wheel_0016</t>
  </si>
  <si>
    <t>ccv_mat_wheel_0017</t>
  </si>
  <si>
    <t>ccv_mat_wheel_0018</t>
  </si>
  <si>
    <t>ccv_mat_wheel_0019</t>
  </si>
  <si>
    <t>ccv_mat_wheel_0020</t>
  </si>
  <si>
    <t>ccv_mat_wheel_0021</t>
  </si>
  <si>
    <t>ccv_mat_wheel_0022</t>
  </si>
  <si>
    <t>ccv_mat_wheel_0023</t>
  </si>
  <si>
    <t>ccv_mat_wheel_0024</t>
  </si>
  <si>
    <t>ccv_mat_wheel_0025</t>
  </si>
  <si>
    <t>ccv_mat_wheel_0026</t>
  </si>
  <si>
    <t>ccv_mat_wheel_0027</t>
  </si>
  <si>
    <t>ccv_dec_0001</t>
  </si>
  <si>
    <t>dec</t>
  </si>
  <si>
    <t>Stripe Line</t>
  </si>
  <si>
    <t>Sọc Stripe</t>
  </si>
  <si>
    <t>-</t>
  </si>
  <si>
    <t>/Content/UI/Thumbnail_Folder/Customize_Skin/NoChange.uasset</t>
  </si>
  <si>
    <t>File Path nằm trong Sheet Visual_Decals</t>
  </si>
  <si>
    <t>ccv_dec_0002</t>
  </si>
  <si>
    <t>Logo Sponsorship</t>
  </si>
  <si>
    <t>Logo Tài Trợ</t>
  </si>
  <si>
    <t>File Path nằm trong Sheet Visual Decals</t>
  </si>
  <si>
    <t>ccv_dec_0003</t>
  </si>
  <si>
    <t>Graphic Theme</t>
  </si>
  <si>
    <t>Họa Tiết Graphic</t>
  </si>
  <si>
    <t>ccv_dec_0004</t>
  </si>
  <si>
    <t>Wraps</t>
  </si>
  <si>
    <t xml:space="preserve">Decal Phủ </t>
  </si>
  <si>
    <t>ccv_dec_0005</t>
  </si>
  <si>
    <t>ccv_dec_0006</t>
  </si>
  <si>
    <t>ccv_dec_0007</t>
  </si>
  <si>
    <t>ccv_dec_0008</t>
  </si>
  <si>
    <t>ccv_dec_0009</t>
  </si>
  <si>
    <t>ccv_dec_0010</t>
  </si>
  <si>
    <t>ccv_dec_0011</t>
  </si>
  <si>
    <t>ccv_dec_0012</t>
  </si>
  <si>
    <t>ccv_dec_0013</t>
  </si>
  <si>
    <t>Decal Phủ 2</t>
  </si>
  <si>
    <t>ccv_part_fb_0010</t>
  </si>
  <si>
    <t>Front Bumper Signature</t>
  </si>
  <si>
    <t>Cản Trước Đặc Trưng</t>
  </si>
  <si>
    <t>Shop Purchase</t>
  </si>
  <si>
    <t>ccv_part_rb_0010</t>
  </si>
  <si>
    <t>Rear Bumper Signature</t>
  </si>
  <si>
    <t>Cản Sau Đặc Trưng</t>
  </si>
  <si>
    <t>ccv_part_sp_0010</t>
  </si>
  <si>
    <t>Spoiler Signature</t>
  </si>
  <si>
    <t>Cánh Gió Đặc Trưng</t>
  </si>
  <si>
    <t>ccv_part_ro_0010</t>
  </si>
  <si>
    <t>Roof Panel Signature</t>
  </si>
  <si>
    <t>Nóc Xe Đặc Trưng</t>
  </si>
  <si>
    <t>ccv_part_wheel_0010</t>
  </si>
  <si>
    <t>Wheel Signature</t>
  </si>
  <si>
    <t>Mâm Đặc Trưng</t>
  </si>
  <si>
    <t>ccv_part_ss_0010</t>
  </si>
  <si>
    <t>Side Skirt Signature</t>
  </si>
  <si>
    <t>Ốp Sườn Đặc Trưng</t>
  </si>
  <si>
    <t>ccv_part_fb_0011</t>
  </si>
  <si>
    <t>ccv_part_rb_0011</t>
  </si>
  <si>
    <t>ccv_part_sp_0011</t>
  </si>
  <si>
    <t>ccv_part_ro_0011</t>
  </si>
  <si>
    <t>ccv_part_wheel_0011</t>
  </si>
  <si>
    <t>ccv_part_ss_0011</t>
  </si>
  <si>
    <t>ccv_part_fb_0012</t>
  </si>
  <si>
    <t>ccv_part_rb_0012</t>
  </si>
  <si>
    <t>ccv_part_sp_0012</t>
  </si>
  <si>
    <t>ccv_part_ro_0012</t>
  </si>
  <si>
    <t>ccv_part_wheel_0012</t>
  </si>
  <si>
    <t>ccv_part_ss_0012</t>
  </si>
  <si>
    <t>ccv_mat_body_0046</t>
  </si>
  <si>
    <t>VinLux Signature Body Paint</t>
  </si>
  <si>
    <t>Sơn Đặc Trưng VinLux</t>
  </si>
  <si>
    <t>ccv_mat_body_0047</t>
  </si>
  <si>
    <t>VF8 Signature Body Paint</t>
  </si>
  <si>
    <t>Sơn Đặc Trưng VF8</t>
  </si>
  <si>
    <t>ccv_mat_body_0048</t>
  </si>
  <si>
    <t>M_GTR Signature Body Paint</t>
  </si>
  <si>
    <t>Sơn Đặc Trưng M_GTR</t>
  </si>
  <si>
    <t>ccv_mat_wheel_0028</t>
  </si>
  <si>
    <t>VinLux Signature Wheel Paint</t>
  </si>
  <si>
    <t>Sơn Đặc Trưng Mâm VinLux</t>
  </si>
  <si>
    <t>ccv_mat_wheel_0029</t>
  </si>
  <si>
    <t>VF8 Signature Wheel Paint</t>
  </si>
  <si>
    <t>Sơn Đặc Trưng Mâm VF8</t>
  </si>
  <si>
    <t>ccv_mat_wheel_0030</t>
  </si>
  <si>
    <t>M_GTR Signature Wheel Paint</t>
  </si>
  <si>
    <t>Sơn Đặc Trưng Mâm M_GTR</t>
  </si>
  <si>
    <t>── Car Customize Performance  (ccp) ──</t>
  </si>
  <si>
    <t>ccp_import_all_0001</t>
  </si>
  <si>
    <t>ccp</t>
  </si>
  <si>
    <t>import</t>
  </si>
  <si>
    <t>Upgrade Part</t>
  </si>
  <si>
    <t>Gói nâng cấp xe</t>
  </si>
  <si>
    <t>path_f</t>
  </si>
  <si>
    <t>Lv4-6 Upgrade Material</t>
  </si>
  <si>
    <t>── Currency bundles  (cur · bundle_*) ──</t>
  </si>
  <si>
    <t>cur_cash_sm_0001</t>
  </si>
  <si>
    <t>cur</t>
  </si>
  <si>
    <t>bundle_cash</t>
  </si>
  <si>
    <t>Cash Pack Small</t>
  </si>
  <si>
    <t>Gói Tiền Nhỏ</t>
  </si>
  <si>
    <t>.+500 cur_cash to Wallet</t>
  </si>
  <si>
    <t>cur_cash_md_0001</t>
  </si>
  <si>
    <t>Cash Pack Medium</t>
  </si>
  <si>
    <t>Gói Tiền Vừa</t>
  </si>
  <si>
    <t>.+2000 cur_cash to Wallet</t>
  </si>
  <si>
    <t>cur_cash_lg_0001</t>
  </si>
  <si>
    <t>Cash Pack Large</t>
  </si>
  <si>
    <t>Gói Tiền Lớn</t>
  </si>
  <si>
    <t>.+5000 cur_cash to Wallet</t>
  </si>
  <si>
    <t>cur_fuel_sm_0001</t>
  </si>
  <si>
    <t>bundle_fuel</t>
  </si>
  <si>
    <t>Fuel Pack Small</t>
  </si>
  <si>
    <t>Gói Nhiên Liệu Nhỏ</t>
  </si>
  <si>
    <t>.+3 cur_fuel to Wallet</t>
  </si>
  <si>
    <t>cur_fuel_md_0001</t>
  </si>
  <si>
    <t>Fuel Pack Medium</t>
  </si>
  <si>
    <t>Gói Nhiên Liệu Vừa</t>
  </si>
  <si>
    <t>.+10 cur_fuel to Wallet</t>
  </si>
  <si>
    <t>cur_click_sm_0001</t>
  </si>
  <si>
    <t>bundle_click</t>
  </si>
  <si>
    <t>Click Pack Small</t>
  </si>
  <si>
    <t>Gói Click Nhỏ</t>
  </si>
  <si>
    <t>.+50 cur_click to Wallet</t>
  </si>
  <si>
    <t>cur_click_md_0001</t>
  </si>
  <si>
    <t>Click Pack Medium</t>
  </si>
  <si>
    <t>Gói Click Vừa</t>
  </si>
  <si>
    <t>.+200 cur_click to Wallet</t>
  </si>
  <si>
    <t>── Loot boxes  (loot) ── (Chưa Implement)</t>
  </si>
  <si>
    <t>loot_silver_0001</t>
  </si>
  <si>
    <t>loot</t>
  </si>
  <si>
    <t>silver</t>
  </si>
  <si>
    <t>Silver Box</t>
  </si>
  <si>
    <t>Hộp Bạc</t>
  </si>
  <si>
    <t>Opens loot box, 1 Token</t>
  </si>
  <si>
    <t>loot_gold_0001</t>
  </si>
  <si>
    <t>gold</t>
  </si>
  <si>
    <t>Gold Box</t>
  </si>
  <si>
    <t>Hộp Vàng</t>
  </si>
  <si>
    <t>Opens loot box, 2 Tokens</t>
  </si>
  <si>
    <t>loot_platinum_0001</t>
  </si>
  <si>
    <t>platinum</t>
  </si>
  <si>
    <t>Platinum Box</t>
  </si>
  <si>
    <t>Hộp Bạch Kim</t>
  </si>
  <si>
    <t>Opens loot box, 3 Tokens</t>
  </si>
  <si>
    <t>MaterialDecalName</t>
  </si>
  <si>
    <t>Decal</t>
  </si>
  <si>
    <t>car</t>
  </si>
  <si>
    <t>body_materialpath</t>
  </si>
  <si>
    <t>frontbumper</t>
  </si>
  <si>
    <t>frontBump_materialpath</t>
  </si>
  <si>
    <t>rearbumper</t>
  </si>
  <si>
    <t>rearBump_materialpath</t>
  </si>
  <si>
    <t>sideBoard</t>
  </si>
  <si>
    <t>sideBoard_materialPath</t>
  </si>
  <si>
    <t>roof</t>
  </si>
  <si>
    <t>roof_materialPath</t>
  </si>
  <si>
    <t>spoiler</t>
  </si>
  <si>
    <t>spoiler_materialPath</t>
  </si>
  <si>
    <t>MI_LuxA_RacingstripesLines_Basic</t>
  </si>
  <si>
    <t>/Content/Vehicles/Lux_A/Materials/Paints/Decal/MI_LuxA_RacingstripesLines_Basic.uasset</t>
  </si>
  <si>
    <t>ccv_part_sb_0001</t>
  </si>
  <si>
    <t>MI_LuxA_RacingstripesLines_Sport</t>
  </si>
  <si>
    <t>/Content/Vehicles/Lux_A/Materials/Paints/Decal/MI_LuxA_RacingstripesLines_Sport.uasset</t>
  </si>
  <si>
    <t>ccv_part_sb_0002</t>
  </si>
  <si>
    <t>MI_LuxA_RacingstripesLines_Luxury</t>
  </si>
  <si>
    <t>/Content/Vehicles/Lux_A/Materials/Paints/Decal/MI_LuxA_RacingstripesLines_Luxury.uasset</t>
  </si>
  <si>
    <t>ccv_part_sb_0003</t>
  </si>
  <si>
    <t>MI_LuxA_LOGOSSPONSORSHIP_Basic</t>
  </si>
  <si>
    <t>/Content/Vehicles/Lux_A/Materials/Paints/Decal/MI_LuxA_LOGOSSPONSORSHIP_Basic.uasset</t>
  </si>
  <si>
    <t>MI_LuxA_LOGOSSPONSORSHIP_Sport</t>
  </si>
  <si>
    <t>/Content/Vehicles/Lux_A/Materials/Paints/Decal/MI_LuxA_LOGOSSPONSORSHIP_Sport.uasset</t>
  </si>
  <si>
    <t>MI_LuxA_LOGOSSPONSORSHIP_Luxury</t>
  </si>
  <si>
    <t>/Content/Vehicles/Lux_A/Materials/Paints/Decal/MI_LuxA_LOGOSSPONSORSHIP_Luxury.uasset</t>
  </si>
  <si>
    <t>MI_LuxA_GRAPHICSTHEMES_Basic</t>
  </si>
  <si>
    <t>/Content/Vehicles/Lux_A/Materials/Paints/Decal/MI_LuxA_GRAPHICSTHEMES_Basic.uasset</t>
  </si>
  <si>
    <t>MI_LuxA_GRAPHICSTHEMES_Sport</t>
  </si>
  <si>
    <t>/Content/Vehicles/Lux_A/Materials/Paints/Decal/MI_LuxA_GRAPHICSTHEMES_Sport.uasset</t>
  </si>
  <si>
    <t>MI_LuxA_GRAPHICSTHEMES_Luxury</t>
  </si>
  <si>
    <t>/Content/Vehicles/Lux_A/Materials/Paints/Decal/MI_LuxA_GRAPHICSTHEMES_Luxury.uasset</t>
  </si>
  <si>
    <t>MI_LuxA_Carpaint_Decal_Wraps_Basic</t>
  </si>
  <si>
    <t>/Content/Vehicles/Lux_A/Materials/Paints/Decal/MI_LuxA_Carpaint_Decal_Wraps_Basic.uasset</t>
  </si>
  <si>
    <t>MI_LuxA_Carpaint_Decal_Wraps_Sport</t>
  </si>
  <si>
    <t>/Content/Vehicles/Lux_A/Materials/Paints/Decal/MI_LuxA_Carpaint_Decal_Wraps_Sport.uasset</t>
  </si>
  <si>
    <t>MI_LuxA_Carpaint_Decal_Wraps_Luxury</t>
  </si>
  <si>
    <t>/Content/Vehicles/Lux_A/Materials/Paints/Decal/MI_LuxA_Carpaint_Decal_Wraps_Luxury.uasset</t>
  </si>
  <si>
    <t>MI_VF8_StripesLines_Basic</t>
  </si>
  <si>
    <t>/Content/Vehicles/VF8/Materials/Paints/Decal/MI_VF8_StripesLines_Basic.uasset</t>
  </si>
  <si>
    <t>ccv_part_sb_0004</t>
  </si>
  <si>
    <t>MI_VF8_StripesLines_Sport</t>
  </si>
  <si>
    <t>/Content/Vehicles/VF8/Materials/Paints/Decal/MI_VF8_StripesLines_Sport.uasset</t>
  </si>
  <si>
    <t>ccv_part_sb_0005</t>
  </si>
  <si>
    <t>MI_VF8_StripesLines_Luxury</t>
  </si>
  <si>
    <t>/Content/Vehicles/VF8/Materials/Paints/Decal/MI_VF8_StripesLines_Luxury.uasset</t>
  </si>
  <si>
    <t>ccv_part_sb_0006</t>
  </si>
  <si>
    <t>MI_VF8_LOGOSSPONSORSHIP_Basic</t>
  </si>
  <si>
    <t>/Content/Vehicles/VF8/Materials/Paints/Decal/MI_VF8_LOGOSSPONSORSHIP_Basic.uasset</t>
  </si>
  <si>
    <t>MI_VF8_LOGOSSPONSORSHIP_Sport</t>
  </si>
  <si>
    <t>/Content/Vehicles/VF8/Materials/Paints/Decal/MI_VF8_LOGOSSPONSORSHIP_Sport.uasset</t>
  </si>
  <si>
    <t>MI_VF8_LOGOSSPONSORSHIP_Luxury</t>
  </si>
  <si>
    <t>/Content/Vehicles/VF8/Materials/Paints/Decal/MI_VF8_LOGOSSPONSORSHIP_Luxury.uasset</t>
  </si>
  <si>
    <t>MI_VF8_GRAPHICSTHEMES_Basic</t>
  </si>
  <si>
    <t>/Content/Vehicles/VF8/Materials/Paints/Decal/MI_VF8_GRAPHICSTHEMES_Basic.uasset</t>
  </si>
  <si>
    <t>MI_VF8_GRAPHICSTHEMES_Sport</t>
  </si>
  <si>
    <t>/Content/Vehicles/VF8/Materials/Paints/Decal/MI_VF8_GRAPHICSTHEMES_Sport.uasset</t>
  </si>
  <si>
    <t>MI_VF8_GRAPHICSTHEMES_Luxury</t>
  </si>
  <si>
    <t>/Content/Vehicles/VF8/Materials/Paints/Decal/MI_VF8_GRAPHICSTHEMES_Luxury.uasset</t>
  </si>
  <si>
    <t>MI_VF8_Wraps_Basic</t>
  </si>
  <si>
    <t>/Content/Vehicles/VF8/Materials/Paints/Decal/MI_VF8_Wraps_Basic.uasset</t>
  </si>
  <si>
    <t>MI_VF8_Wraps_Sport</t>
  </si>
  <si>
    <t>/Content/Vehicles/VF8/Materials/Paints/Decal/MI_VF8_Wraps_Sport.uasset</t>
  </si>
  <si>
    <t>MI_VF8_Wraps_Luxury</t>
  </si>
  <si>
    <t>/Content/Vehicles/VF8/Materials/Paints/Decal/MI_VF8_Wraps_Luxury.uasset</t>
  </si>
  <si>
    <t>MI_AMG_RacingStripesLine_Basic</t>
  </si>
  <si>
    <t>/Content/Vehicles/MercedesBenz_AMG_GT_R/Materials/Paints/Decal/MI_AMG_RacingStripesLine_Basic.uasset</t>
  </si>
  <si>
    <t>ccv_part_sb_0007</t>
  </si>
  <si>
    <t>MI_AMG_RacingStripesLine_Sport</t>
  </si>
  <si>
    <t>/Content/Vehicles/MercedesBenz_AMG_GT_R/Materials/Paints/Decal/MI_AMG_RacingStripesLine_Sport.uasset</t>
  </si>
  <si>
    <t>ccv_part_sb_0008</t>
  </si>
  <si>
    <t>MI_AMG_RacingStripesLine_Luxury</t>
  </si>
  <si>
    <t>/Content/Vehicles/MercedesBenz_AMG_GT_R/Materials/Paints/Decal/MI_AMG_RacingStripesLine_Luxury.uasset</t>
  </si>
  <si>
    <t>ccv_part_sb_0009</t>
  </si>
  <si>
    <t>MI_AMG_LOGOSSPONSORSHIP_Basic</t>
  </si>
  <si>
    <t>/Content/Vehicles/MercedesBenz_AMG_GT_R/Materials/Paints/Decal/MI_AMG_LOGOSSPONSORSHIP_Basic.uasset</t>
  </si>
  <si>
    <t>MI_AMG_LOGOSSPONSORSHIP_Sport</t>
  </si>
  <si>
    <t>/Content/Vehicles/MercedesBenz_AMG_GT_R/Materials/Paints/Decal/MI_AMG_LOGOSSPONSORSHIP_Sport.uasset</t>
  </si>
  <si>
    <t>MI_AMG_LOGOSSPONSORSHIP_Luxury</t>
  </si>
  <si>
    <t>/Content/Vehicles/MercedesBenz_AMG_GT_R/Materials/Paints/Decal/MI_AMG_LOGOSSPONSORSHIP_Luxury.uasset</t>
  </si>
  <si>
    <t>MI_AMG_GRAPHICSTHEMES_Basic</t>
  </si>
  <si>
    <t>/Content/Vehicles/MercedesBenz_AMG_GT_R/Materials/Paints/Decal/MI_AMG_GRAPHICSTHEMES_Basic.uasset</t>
  </si>
  <si>
    <t>MI_AMG_GRAPHICSTHEMES_Sport</t>
  </si>
  <si>
    <t>/Content/Vehicles/MercedesBenz_AMG_GT_R/Materials/Paints/Decal/MI_AMG_GRAPHICSTHEMES_Sport.uasset</t>
  </si>
  <si>
    <t>MI_AMG_GRAPHICSTHEMES_Luxury</t>
  </si>
  <si>
    <t>/Content/Vehicles/MercedesBenz_AMG_GT_R/Materials/Paints/Decal/MI_AMG_GRAPHICSTHEMES_Luxury.uasset</t>
  </si>
  <si>
    <t>MI_AMG_Decal_Wraps_Basic</t>
  </si>
  <si>
    <t>/Content/Vehicles/MercedesBenz_AMG_GT_R/Materials/Paints/Decal/MI_AMG_Decal_Wraps_Basic.uasset</t>
  </si>
  <si>
    <t>MI_AMG_Decal_Wraps_Sport</t>
  </si>
  <si>
    <t>/Content/Vehicles/MercedesBenz_AMG_GT_R/Materials/Paints/Decal/MI_AMG_Decal_Wraps_Sport.uasset</t>
  </si>
  <si>
    <t>MI_AMG_Decal_Wraps_Luxury</t>
  </si>
  <si>
    <t>/Content/Vehicles/MercedesBenz_AMG_GT_R/Materials/Paints/Decal/MI_AMG_Decal_Wraps_Luxury.uasset</t>
  </si>
  <si>
    <t>car_vin1</t>
  </si>
  <si>
    <t>catalog_id</t>
  </si>
  <si>
    <t>slot</t>
  </si>
  <si>
    <t>car_id</t>
  </si>
  <si>
    <t>← VLOOKUP → CATALOG_MASTER</t>
  </si>
  <si>
    <t>Front Bumper</t>
  </si>
  <si>
    <t>car_vin_1</t>
  </si>
  <si>
    <t>Rear Bumper</t>
  </si>
  <si>
    <t>Spoiler</t>
  </si>
  <si>
    <t>Roof</t>
  </si>
  <si>
    <t>Wheel</t>
  </si>
  <si>
    <t>Side Skirt</t>
  </si>
  <si>
    <t>car_vin_2</t>
  </si>
  <si>
    <t>car_mer_1</t>
  </si>
  <si>
    <t>Body Material</t>
  </si>
  <si>
    <t>Wheel Material</t>
  </si>
  <si>
    <t>archetype</t>
  </si>
  <si>
    <t>CR_base</t>
  </si>
  <si>
    <t>default_parts</t>
  </si>
  <si>
    <t>default_mat_body</t>
  </si>
  <si>
    <t>default_mat_wheel</t>
  </si>
  <si>
    <t>Vin Fast LUX A 2.0</t>
  </si>
  <si>
    <t>Balance</t>
  </si>
  <si>
    <t>Starter car</t>
  </si>
  <si>
    <t>dẫn về body</t>
  </si>
  <si>
    <t>ccv_part_fb_01,
ccv_part_rb_01,
ccv_part_sp_01,
ccv_part_ro_01,
ccv_part_wheel_01,
ccv_part_ss_01</t>
  </si>
  <si>
    <t>Vin Fast VF8</t>
  </si>
  <si>
    <t>Grip Focus</t>
  </si>
  <si>
    <t>ccv_part_fb_04,
ccv_part_rb_04,
ccv_part_sp_04,
ccv_part_ro_04,
ccv_part_wheel_04,
ccv_part_ss_04</t>
  </si>
  <si>
    <t xml:space="preserve">Mercedes-Benz AMG GT R </t>
  </si>
  <si>
    <t>Speed Focus</t>
  </si>
  <si>
    <t>ccv_part_fb_07,
ccv_part_rb_07,
ccv_part_sp_07,
ccv_part_ro_07,
ccv_part_wheel_07,
ccv_part_ss_07</t>
  </si>
  <si>
    <t>car_toy_1</t>
  </si>
  <si>
    <t>Toyota GR86</t>
  </si>
  <si>
    <t>car_tes_1</t>
  </si>
  <si>
    <t>Tesla Model S Plaid</t>
  </si>
  <si>
    <t>car_por_1</t>
  </si>
  <si>
    <t>Porsche 718 Cayman</t>
  </si>
  <si>
    <t>car_toy_2</t>
  </si>
  <si>
    <t>Lexus IS 500 Hybrid</t>
  </si>
  <si>
    <t>car_nis_1</t>
  </si>
  <si>
    <t>Nissan GT-R</t>
  </si>
  <si>
    <t>car_fer_1</t>
  </si>
  <si>
    <t>Ferrari SF90 Stradale</t>
  </si>
  <si>
    <t>car_toy_3</t>
  </si>
  <si>
    <t>Toyota lexus Electrified Sport</t>
  </si>
  <si>
    <t>car_for_1</t>
  </si>
  <si>
    <t>Ford Mustang GT500</t>
  </si>
  <si>
    <t>car_rim_1</t>
  </si>
  <si>
    <t>Rimac Nevera</t>
  </si>
  <si>
    <t>car_bmw_1</t>
  </si>
  <si>
    <t>BMW M3 GTR</t>
  </si>
  <si>
    <t>car_lam_1</t>
  </si>
  <si>
    <t>Lamborghini Huracán</t>
  </si>
  <si>
    <t>car_bur_1</t>
  </si>
  <si>
    <t>Bugatti Tourbillon</t>
  </si>
  <si>
    <t>car_mer_2</t>
  </si>
  <si>
    <t>Mercedes Vision ATVR</t>
  </si>
  <si>
    <t>Shop Unlock</t>
  </si>
  <si>
    <t>car_dev_1</t>
  </si>
  <si>
    <t>Devel Sixteen</t>
  </si>
  <si>
    <t>car_spe_1</t>
  </si>
  <si>
    <t>upgrade_stage</t>
  </si>
  <si>
    <t>stat_primary</t>
  </si>
  <si>
    <t>stat_delta</t>
  </si>
  <si>
    <t>lv_required</t>
  </si>
  <si>
    <t>Stage 4 -6</t>
  </si>
  <si>
    <t>All</t>
  </si>
  <si>
    <t>+1</t>
  </si>
  <si>
    <t xml:space="preserve"> 4 and Up</t>
  </si>
  <si>
    <t>Cần để Upgrade xe từ lv 4-6</t>
  </si>
  <si>
    <t>City Loot Pool — filter city_id để xem theo thành phố · item_category/subcategory/display_name tự động VLOOKUP từ CATALOG_MASTER</t>
  </si>
  <si>
    <t>item_master_id</t>
  </si>
  <si>
    <t>item_category</t>
  </si>
  <si>
    <t>item_subcategory</t>
  </si>
  <si>
    <t>base_weights</t>
  </si>
  <si>
    <t>rarity_tier</t>
  </si>
  <si>
    <t>── DN  Đà Nẵng ──────────────────</t>
  </si>
  <si>
    <t>── HU  Hue ──────────────────</t>
  </si>
  <si>
    <t>active</t>
  </si>
  <si>
    <t>── HCM  Hồ Chí Minh ──────────────────</t>
  </si>
  <si>
    <t>── PQ  Phú Quốc ──────────────────</t>
  </si>
  <si>
    <t>date</t>
  </si>
  <si>
    <t>editor</t>
  </si>
  <si>
    <t>action</t>
  </si>
  <si>
    <t>affected_sheet</t>
  </si>
  <si>
    <t>reason</t>
  </si>
  <si>
    <t>approved_by</t>
  </si>
  <si>
    <t>2026-03-29</t>
  </si>
  <si>
    <t>[GD]</t>
  </si>
  <si>
    <t>ADD</t>
  </si>
  <si>
    <t>ALL</t>
  </si>
  <si>
    <t>Update Version 1</t>
  </si>
  <si>
    <t>Phước</t>
  </si>
  <si>
    <t>RENAME_MIGRATION</t>
  </si>
  <si>
    <t>Update hết toàn bộ Item từ bảng cũ sang bảng mới</t>
  </si>
  <si>
    <t>Update lại phương pháp đặt tên từ nn --&gt; nnnn, 
Chỉnh sửa thông tin cho Overview, Visual Items, Perform Items, CityLootpools</t>
  </si>
  <si>
    <t>Thêm phần File Path vào các Sheet Overview, Visual Items, Perform Items, CityLootpools</t>
  </si>
  <si>
    <t>Bổ sung danh sách xe Full (Dự kiến)</t>
  </si>
  <si>
    <t>Thêm trường Filepath vào các bảng Master, ItemVisual &amp; ItemPerform</t>
  </si>
  <si>
    <t>OVERVIEW</t>
  </si>
  <si>
    <t>Thêm phần vẽ Schema mối liên hệ cho các bảng</t>
  </si>
  <si>
    <t>Thêm phần Index cho các Sheet</t>
  </si>
  <si>
    <t>CATALOG_MASTER</t>
  </si>
  <si>
    <t>Đổi tên các Part STD --&gt; Part Basic để đồng bộ.</t>
  </si>
  <si>
    <t>VISUAL_DECALS</t>
  </si>
  <si>
    <t>Nhập Path ID cho tất cả các Decal hiện tại cho 3 xe VinLux, VF8 và Mercedes</t>
  </si>
  <si>
    <t>Nhập Path ID cho tất cả Mesh của các xe VinLux, VF8 và Mercedes</t>
  </si>
  <si>
    <t>box_catalog_id</t>
  </si>
  <si>
    <t>box_tier</t>
  </si>
  <si>
    <t>item_catalog_id</t>
  </si>
  <si>
    <t>weight</t>
  </si>
  <si>
    <t>weight_pct</t>
  </si>
  <si>
    <t>← VLOOKUP</t>
  </si>
  <si>
    <t>loot_silver_01</t>
  </si>
  <si>
    <t>Silver</t>
  </si>
  <si>
    <t>ccv_part_front_bumper_01</t>
  </si>
  <si>
    <t>ccv_part_rear_bumper_01</t>
  </si>
  <si>
    <t>ccv_color_body_red_01</t>
  </si>
  <si>
    <t>ccv_color_wheel_silver_01</t>
  </si>
  <si>
    <t>ccp_import_green_01</t>
  </si>
  <si>
    <t>loot_gold_01</t>
  </si>
  <si>
    <t>Gold</t>
  </si>
  <si>
    <t>ccv_mat_body_metallic_01</t>
  </si>
  <si>
    <t>ccv_mat_wheel_chrome_01</t>
  </si>
  <si>
    <t>ccv_part_spoiler_02</t>
  </si>
  <si>
    <t>ccp_import_blue_01</t>
  </si>
  <si>
    <t>loot_platinum_01</t>
  </si>
  <si>
    <t>Platinum</t>
  </si>
  <si>
    <t>ccv_part_front_bumper_02</t>
  </si>
  <si>
    <t>Epic</t>
  </si>
  <si>
    <t>ccp_import_gold_01</t>
  </si>
  <si>
    <t>TÍNH NĂNG CHƯA IMPLEMENT, BẢNG NÀY CHƯA DÙNG!!!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</si>
</sst>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0.0%"/>
  </numFmts>
  <fonts count="56">
    <font>
      <sz val="11.0"/>
      <color theme="1"/>
      <name val="Calibri"/>
      <scheme val="minor"/>
    </font>
    <font>
      <b/>
      <sz val="16.0"/>
      <color rgb="FF1F4E79"/>
      <name val="Arial"/>
    </font>
    <font>
      <i/>
      <sz val="10.0"/>
      <color rgb="FF666666"/>
      <name val="Arial"/>
    </font>
    <font>
      <b/>
      <sz val="10.0"/>
      <color rgb="FFFFFFFF"/>
      <name val="Arial"/>
    </font>
    <font>
      <sz val="10.0"/>
      <color rgb="FF000000"/>
      <name val="Arial"/>
    </font>
    <font>
      <color rgb="FFFFFFFF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b/>
      <sz val="10.0"/>
      <color rgb="FF1F4E79"/>
      <name val="Arial"/>
    </font>
    <font>
      <b/>
      <sz val="9.0"/>
      <color rgb="FFFFFFFF"/>
      <name val="Arial"/>
    </font>
    <font>
      <sz val="9.0"/>
      <color rgb="FF333333"/>
      <name val="Arial"/>
    </font>
    <font>
      <sz val="9.0"/>
      <color rgb="FFFF0000"/>
      <name val="Arial"/>
    </font>
    <font>
      <color theme="1"/>
      <name val="Arial"/>
    </font>
    <font/>
    <font>
      <b/>
      <sz val="12.0"/>
      <color rgb="FF1F4E79"/>
      <name val="Courier New"/>
    </font>
    <font>
      <b/>
      <sz val="10.0"/>
      <color rgb="FF1F4E79"/>
      <name val="Courier New"/>
    </font>
    <font>
      <b/>
      <sz val="11.0"/>
      <color rgb="FF1A5276"/>
      <name val="Courier New"/>
    </font>
    <font>
      <sz val="10.0"/>
      <color rgb="FF555555"/>
      <name val="Arial"/>
    </font>
    <font>
      <b/>
      <sz val="10.0"/>
      <color rgb="FF0E6655"/>
      <name val="Courier New"/>
    </font>
    <font>
      <b/>
      <sz val="10.0"/>
      <color rgb="FF7D6608"/>
      <name val="Courier New"/>
    </font>
    <font>
      <b/>
      <sz val="10.0"/>
      <color rgb="FF922B21"/>
      <name val="Courier New"/>
    </font>
    <font>
      <sz val="10.0"/>
      <color rgb="FF333333"/>
      <name val="Arial"/>
    </font>
    <font>
      <b/>
      <sz val="14.0"/>
      <color rgb="FF117A65"/>
      <name val="Arial"/>
    </font>
    <font>
      <i/>
      <sz val="9.0"/>
      <color rgb="FF666666"/>
      <name val="Arial"/>
    </font>
    <font>
      <b/>
      <sz val="11.0"/>
      <color rgb="FF1F618D"/>
      <name val="Arial"/>
    </font>
    <font>
      <b/>
      <sz val="11.0"/>
      <color rgb="FF1F618D"/>
      <name val="Courier New"/>
    </font>
    <font>
      <b/>
      <sz val="10.0"/>
      <color rgb="FF1F618D"/>
      <name val="Arial"/>
    </font>
    <font>
      <b/>
      <sz val="11.0"/>
      <color rgb="FF117A65"/>
      <name val="Arial"/>
    </font>
    <font>
      <b/>
      <sz val="11.0"/>
      <color rgb="FF117A65"/>
      <name val="Courier New"/>
    </font>
    <font>
      <b/>
      <sz val="10.0"/>
      <color rgb="FF117A65"/>
      <name val="Arial"/>
    </font>
    <font>
      <b/>
      <sz val="11.0"/>
      <color rgb="FF7D6608"/>
      <name val="Arial"/>
    </font>
    <font>
      <b/>
      <sz val="11.0"/>
      <color rgb="FF7D6608"/>
      <name val="Courier New"/>
    </font>
    <font>
      <b/>
      <sz val="10.0"/>
      <color rgb="FF7D6608"/>
      <name val="Arial"/>
    </font>
    <font>
      <b/>
      <sz val="11.0"/>
      <color rgb="FF6C3483"/>
      <name val="Arial"/>
    </font>
    <font>
      <b/>
      <sz val="11.0"/>
      <color rgb="FF6C3483"/>
      <name val="Courier New"/>
    </font>
    <font>
      <b/>
      <sz val="10.0"/>
      <color rgb="FF6C3483"/>
      <name val="Arial"/>
    </font>
    <font>
      <b/>
      <sz val="11.0"/>
      <color rgb="FF922B21"/>
      <name val="Arial"/>
    </font>
    <font>
      <b/>
      <sz val="11.0"/>
      <color rgb="FF922B21"/>
      <name val="Courier New"/>
    </font>
    <font>
      <b/>
      <sz val="10.0"/>
      <color rgb="FF922B21"/>
      <name val="Arial"/>
    </font>
    <font>
      <i/>
      <sz val="9.0"/>
      <color rgb="FF555555"/>
      <name val="Arial"/>
    </font>
    <font>
      <b/>
      <sz val="10.0"/>
      <color rgb="FF0E6655"/>
      <name val="Arial"/>
    </font>
    <font>
      <color theme="1"/>
      <name val="Calibri"/>
    </font>
    <font>
      <b/>
      <sz val="10.0"/>
      <color rgb="FF1A6B8A"/>
      <name val="Arial"/>
    </font>
    <font>
      <i/>
      <sz val="9.0"/>
      <color rgb="FF1A6B8A"/>
      <name val="Arial"/>
    </font>
    <font>
      <sz val="10.0"/>
      <color theme="1"/>
      <name val="Calibri"/>
      <scheme val="minor"/>
    </font>
    <font>
      <b/>
      <color theme="1"/>
      <name val="Calibri"/>
      <scheme val="minor"/>
    </font>
    <font>
      <i/>
      <sz val="10.0"/>
      <color rgb="FF555555"/>
      <name val="Arial"/>
    </font>
    <font>
      <sz val="10.0"/>
      <color theme="1"/>
      <name val="Arial"/>
    </font>
    <font>
      <i/>
      <sz val="9.0"/>
      <color rgb="FF1A8A74"/>
      <name val="Arial"/>
    </font>
    <font>
      <b/>
      <sz val="10.0"/>
      <color rgb="FF5B2C6F"/>
      <name val="Arial"/>
    </font>
    <font>
      <b/>
      <sz val="10.0"/>
      <color rgb="FF1A5276"/>
      <name val="Arial"/>
    </font>
    <font>
      <sz val="10.0"/>
      <color rgb="FF5B2C6F"/>
      <name val="Arial"/>
    </font>
    <font>
      <b/>
      <sz val="10.0"/>
      <color rgb="FF7B241C"/>
      <name val="Arial"/>
    </font>
    <font>
      <i/>
      <color rgb="FF666666"/>
      <name val="Calibri"/>
      <scheme val="minor"/>
    </font>
    <font>
      <i/>
      <sz val="9.0"/>
      <color rgb="FFCB4335"/>
      <name val="Arial"/>
    </font>
    <font>
      <b/>
      <sz val="24.0"/>
      <color rgb="FFFF0000"/>
      <name val="Calibri"/>
    </font>
  </fonts>
  <fills count="37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3C78D8"/>
        <bgColor rgb="FF3C78D8"/>
      </patternFill>
    </fill>
    <fill>
      <patternFill patternType="solid">
        <fgColor rgb="FFF5F5F5"/>
        <bgColor rgb="FFF5F5F5"/>
      </patternFill>
    </fill>
    <fill>
      <patternFill patternType="solid">
        <fgColor rgb="FFFFF2CC"/>
        <bgColor rgb="FFFFF2CC"/>
      </patternFill>
    </fill>
    <fill>
      <patternFill patternType="solid">
        <fgColor rgb="FFE8F4F8"/>
        <bgColor rgb="FFE8F4F8"/>
      </patternFill>
    </fill>
    <fill>
      <patternFill patternType="solid">
        <fgColor rgb="FF4A86E8"/>
        <bgColor rgb="FF4A86E8"/>
      </patternFill>
    </fill>
    <fill>
      <patternFill patternType="solid">
        <fgColor rgb="FFEBF5FB"/>
        <bgColor rgb="FFEBF5FB"/>
      </patternFill>
    </fill>
    <fill>
      <patternFill patternType="solid">
        <fgColor rgb="FF2E75B6"/>
        <bgColor rgb="FF2E75B6"/>
      </patternFill>
    </fill>
    <fill>
      <patternFill patternType="solid">
        <fgColor rgb="FFDDEEFF"/>
        <bgColor rgb="FFDDEEFF"/>
      </patternFill>
    </fill>
    <fill>
      <patternFill patternType="solid">
        <fgColor rgb="FFD6EAF8"/>
        <bgColor rgb="FFD6EAF8"/>
      </patternFill>
    </fill>
    <fill>
      <patternFill patternType="solid">
        <fgColor rgb="FFF8FBFF"/>
        <bgColor rgb="FFF8FBFF"/>
      </patternFill>
    </fill>
    <fill>
      <patternFill patternType="solid">
        <fgColor rgb="FF117A65"/>
        <bgColor rgb="FF117A65"/>
      </patternFill>
    </fill>
    <fill>
      <patternFill patternType="solid">
        <fgColor rgb="FFD5F5EE"/>
        <bgColor rgb="FFD5F5EE"/>
      </patternFill>
    </fill>
    <fill>
      <patternFill patternType="solid">
        <fgColor rgb="FFFEF9E7"/>
        <bgColor rgb="FFFEF9E7"/>
      </patternFill>
    </fill>
    <fill>
      <patternFill patternType="solid">
        <fgColor rgb="FFEDE1F5"/>
        <bgColor rgb="FFEDE1F5"/>
      </patternFill>
    </fill>
    <fill>
      <patternFill patternType="solid">
        <fgColor rgb="FFFDEDEC"/>
        <bgColor rgb="FFFDEDEC"/>
      </patternFill>
    </fill>
    <fill>
      <patternFill patternType="solid">
        <fgColor rgb="FFFFF9C4"/>
        <bgColor rgb="FFFFF9C4"/>
      </patternFill>
    </fill>
    <fill>
      <patternFill patternType="solid">
        <fgColor rgb="FF26A69A"/>
        <bgColor rgb="FF26A69A"/>
      </patternFill>
    </fill>
    <fill>
      <patternFill patternType="solid">
        <fgColor rgb="FFDDF2F0"/>
        <bgColor rgb="FFDDF2F0"/>
      </patternFill>
    </fill>
    <fill>
      <patternFill patternType="solid">
        <fgColor rgb="FF7D6608"/>
        <bgColor rgb="FF7D6608"/>
      </patternFill>
    </fill>
    <fill>
      <patternFill patternType="solid">
        <fgColor rgb="FF1A6B8A"/>
        <bgColor rgb="FF1A6B8A"/>
      </patternFill>
    </fill>
    <fill>
      <patternFill patternType="solid">
        <fgColor rgb="FF922B21"/>
        <bgColor rgb="FF922B21"/>
      </patternFill>
    </fill>
    <fill>
      <patternFill patternType="solid">
        <fgColor rgb="FFFFE599"/>
        <bgColor rgb="FFFFE599"/>
      </patternFill>
    </fill>
    <fill>
      <patternFill patternType="solid">
        <fgColor rgb="FF1A8A74"/>
        <bgColor rgb="FF1A8A74"/>
      </patternFill>
    </fill>
    <fill>
      <patternFill patternType="solid">
        <fgColor rgb="FF8E44AD"/>
        <bgColor rgb="FF8E44AD"/>
      </patternFill>
    </fill>
    <fill>
      <patternFill patternType="solid">
        <fgColor rgb="FF8E7CC3"/>
        <bgColor rgb="FF8E7CC3"/>
      </patternFill>
    </fill>
    <fill>
      <patternFill patternType="solid">
        <fgColor rgb="FFF3F3F3"/>
        <bgColor rgb="FFF3F3F3"/>
      </patternFill>
    </fill>
    <fill>
      <patternFill patternType="solid">
        <fgColor rgb="FFB7950B"/>
        <bgColor rgb="FFB7950B"/>
      </patternFill>
    </fill>
    <fill>
      <patternFill patternType="solid">
        <fgColor rgb="FFEAFAF1"/>
        <bgColor rgb="FFEAFAF1"/>
      </patternFill>
    </fill>
    <fill>
      <patternFill patternType="solid">
        <fgColor rgb="FF6C3483"/>
        <bgColor rgb="FF6C3483"/>
      </patternFill>
    </fill>
    <fill>
      <patternFill patternType="solid">
        <fgColor rgb="FFF5EEF8"/>
        <bgColor rgb="FFF5EEF8"/>
      </patternFill>
    </fill>
    <fill>
      <patternFill patternType="solid">
        <fgColor rgb="FF717D7E"/>
        <bgColor rgb="FF717D7E"/>
      </patternFill>
    </fill>
    <fill>
      <patternFill patternType="solid">
        <fgColor rgb="FFF2F3F4"/>
        <bgColor rgb="FFF2F3F4"/>
      </patternFill>
    </fill>
    <fill>
      <patternFill patternType="solid">
        <fgColor rgb="FFCB4335"/>
        <bgColor rgb="FFCB4335"/>
      </patternFill>
    </fill>
  </fills>
  <borders count="21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2E75B6"/>
      </left>
      <top style="thin">
        <color rgb="FF2E75B6"/>
      </top>
      <bottom style="thin">
        <color rgb="FF2E75B6"/>
      </bottom>
    </border>
    <border>
      <top style="thin">
        <color rgb="FF2E75B6"/>
      </top>
      <bottom style="thin">
        <color rgb="FF2E75B6"/>
      </bottom>
    </border>
    <border>
      <right style="thin">
        <color rgb="FF2E75B6"/>
      </right>
      <top style="thin">
        <color rgb="FF2E75B6"/>
      </top>
      <bottom style="thin">
        <color rgb="FF2E75B6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/>
      <top/>
      <bottom/>
    </border>
    <border>
      <top/>
      <bottom/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4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/>
    </xf>
    <xf borderId="1" fillId="3" fontId="4" numFmtId="0" xfId="0" applyAlignment="1" applyBorder="1" applyFill="1" applyFont="1">
      <alignment vertical="center"/>
    </xf>
    <xf borderId="0" fillId="4" fontId="5" numFmtId="0" xfId="0" applyFill="1" applyFont="1"/>
    <xf borderId="0" fillId="4" fontId="6" numFmtId="0" xfId="0" applyAlignment="1" applyFont="1">
      <alignment readingOrder="0"/>
    </xf>
    <xf borderId="1" fillId="5" fontId="4" numFmtId="0" xfId="0" applyAlignment="1" applyBorder="1" applyFill="1" applyFont="1">
      <alignment vertical="center"/>
    </xf>
    <xf borderId="0" fillId="6" fontId="7" numFmtId="0" xfId="0" applyFill="1" applyFont="1"/>
    <xf borderId="1" fillId="7" fontId="4" numFmtId="0" xfId="0" applyAlignment="1" applyBorder="1" applyFill="1" applyFont="1">
      <alignment vertical="center"/>
    </xf>
    <xf borderId="0" fillId="0" fontId="8" numFmtId="0" xfId="0" applyFont="1"/>
    <xf borderId="0" fillId="8" fontId="9" numFmtId="0" xfId="0" applyAlignment="1" applyFill="1" applyFont="1">
      <alignment shrinkToFit="0" wrapText="1"/>
    </xf>
    <xf borderId="0" fillId="0" fontId="10" numFmtId="0" xfId="0" applyAlignment="1" applyFont="1">
      <alignment shrinkToFit="0" wrapText="1"/>
    </xf>
    <xf borderId="0" fillId="0" fontId="11" numFmtId="0" xfId="0" applyAlignment="1" applyFont="1">
      <alignment shrinkToFit="0" wrapText="1"/>
    </xf>
    <xf borderId="0" fillId="0" fontId="11" numFmtId="0" xfId="0" applyFont="1"/>
    <xf borderId="0" fillId="0" fontId="12" numFmtId="0" xfId="0" applyFont="1"/>
    <xf borderId="2" fillId="2" fontId="3" numFmtId="0" xfId="0" applyAlignment="1" applyBorder="1" applyFont="1">
      <alignment horizontal="left" vertical="center"/>
    </xf>
    <xf borderId="3" fillId="0" fontId="13" numFmtId="0" xfId="0" applyBorder="1" applyFont="1"/>
    <xf borderId="4" fillId="0" fontId="13" numFmtId="0" xfId="0" applyBorder="1" applyFont="1"/>
    <xf borderId="5" fillId="9" fontId="14" numFmtId="0" xfId="0" applyAlignment="1" applyBorder="1" applyFill="1" applyFont="1">
      <alignment horizontal="center" vertical="center"/>
    </xf>
    <xf borderId="6" fillId="0" fontId="13" numFmtId="0" xfId="0" applyBorder="1" applyFont="1"/>
    <xf borderId="7" fillId="0" fontId="13" numFmtId="0" xfId="0" applyBorder="1" applyFont="1"/>
    <xf borderId="1" fillId="10" fontId="3" numFmtId="0" xfId="0" applyAlignment="1" applyBorder="1" applyFill="1" applyFont="1">
      <alignment horizontal="center" vertical="center"/>
    </xf>
    <xf borderId="1" fillId="3" fontId="15" numFmtId="0" xfId="0" applyAlignment="1" applyBorder="1" applyFont="1">
      <alignment horizontal="left" vertical="center"/>
    </xf>
    <xf borderId="1" fillId="3" fontId="4" numFmtId="0" xfId="0" applyAlignment="1" applyBorder="1" applyFont="1">
      <alignment horizontal="left" vertical="center"/>
    </xf>
    <xf borderId="1" fillId="11" fontId="15" numFmtId="0" xfId="0" applyAlignment="1" applyBorder="1" applyFill="1" applyFont="1">
      <alignment horizontal="left" vertical="center"/>
    </xf>
    <xf borderId="1" fillId="11" fontId="4" numFmtId="0" xfId="0" applyAlignment="1" applyBorder="1" applyFont="1">
      <alignment horizontal="left" vertical="center"/>
    </xf>
    <xf borderId="1" fillId="11" fontId="4" numFmtId="0" xfId="0" applyAlignment="1" applyBorder="1" applyFont="1">
      <alignment horizontal="left" readingOrder="0" vertical="center"/>
    </xf>
    <xf borderId="2" fillId="9" fontId="8" numFmtId="0" xfId="0" applyBorder="1" applyFont="1"/>
    <xf borderId="5" fillId="12" fontId="16" numFmtId="0" xfId="0" applyAlignment="1" applyBorder="1" applyFill="1" applyFont="1">
      <alignment horizontal="center" vertical="center"/>
    </xf>
    <xf borderId="8" fillId="13" fontId="15" numFmtId="0" xfId="0" applyAlignment="1" applyBorder="1" applyFill="1" applyFont="1">
      <alignment vertical="center"/>
    </xf>
    <xf borderId="8" fillId="13" fontId="17" numFmtId="0" xfId="0" applyAlignment="1" applyBorder="1" applyFont="1">
      <alignment vertical="center"/>
    </xf>
    <xf borderId="8" fillId="13" fontId="18" numFmtId="0" xfId="0" applyAlignment="1" applyBorder="1" applyFont="1">
      <alignment vertical="center"/>
    </xf>
    <xf borderId="8" fillId="13" fontId="19" numFmtId="0" xfId="0" applyAlignment="1" applyBorder="1" applyFont="1">
      <alignment vertical="center"/>
    </xf>
    <xf borderId="8" fillId="13" fontId="20" numFmtId="0" xfId="0" applyAlignment="1" applyBorder="1" applyFont="1">
      <alignment vertical="center"/>
    </xf>
    <xf borderId="2" fillId="2" fontId="3" numFmtId="0" xfId="0" applyBorder="1" applyFont="1"/>
    <xf borderId="1" fillId="3" fontId="8" numFmtId="0" xfId="0" applyAlignment="1" applyBorder="1" applyFont="1">
      <alignment vertical="center"/>
    </xf>
    <xf borderId="2" fillId="3" fontId="21" numFmtId="0" xfId="0" applyAlignment="1" applyBorder="1" applyFont="1">
      <alignment shrinkToFit="0" vertical="center" wrapText="1"/>
    </xf>
    <xf borderId="1" fillId="9" fontId="8" numFmtId="0" xfId="0" applyAlignment="1" applyBorder="1" applyFont="1">
      <alignment vertical="center"/>
    </xf>
    <xf borderId="2" fillId="9" fontId="21" numFmtId="0" xfId="0" applyAlignment="1" applyBorder="1" applyFont="1">
      <alignment shrinkToFit="0" vertical="center" wrapText="1"/>
    </xf>
    <xf borderId="0" fillId="0" fontId="22" numFmtId="0" xfId="0" applyAlignment="1" applyFont="1">
      <alignment horizontal="left" vertical="center"/>
    </xf>
    <xf borderId="0" fillId="0" fontId="23" numFmtId="0" xfId="0" applyFont="1"/>
    <xf borderId="1" fillId="14" fontId="3" numFmtId="0" xfId="0" applyAlignment="1" applyBorder="1" applyFill="1" applyFont="1">
      <alignment horizontal="center" shrinkToFit="0" vertical="center" wrapText="1"/>
    </xf>
    <xf borderId="1" fillId="12" fontId="24" numFmtId="0" xfId="0" applyAlignment="1" applyBorder="1" applyFont="1">
      <alignment horizontal="center" vertical="center"/>
    </xf>
    <xf borderId="1" fillId="12" fontId="25" numFmtId="0" xfId="0" applyAlignment="1" applyBorder="1" applyFont="1">
      <alignment horizontal="center" vertical="center"/>
    </xf>
    <xf borderId="1" fillId="12" fontId="26" numFmtId="0" xfId="0" applyAlignment="1" applyBorder="1" applyFont="1">
      <alignment horizontal="left" vertical="center"/>
    </xf>
    <xf borderId="1" fillId="12" fontId="4" numFmtId="0" xfId="0" applyAlignment="1" applyBorder="1" applyFont="1">
      <alignment horizontal="left" vertical="center"/>
    </xf>
    <xf borderId="1" fillId="12" fontId="26" numFmtId="0" xfId="0" applyAlignment="1" applyBorder="1" applyFont="1">
      <alignment horizontal="center" vertical="center"/>
    </xf>
    <xf borderId="1" fillId="15" fontId="27" numFmtId="0" xfId="0" applyAlignment="1" applyBorder="1" applyFill="1" applyFont="1">
      <alignment horizontal="center" vertical="center"/>
    </xf>
    <xf borderId="1" fillId="15" fontId="28" numFmtId="0" xfId="0" applyAlignment="1" applyBorder="1" applyFont="1">
      <alignment horizontal="center" vertical="center"/>
    </xf>
    <xf borderId="1" fillId="15" fontId="29" numFmtId="0" xfId="0" applyAlignment="1" applyBorder="1" applyFont="1">
      <alignment horizontal="left" vertical="center"/>
    </xf>
    <xf borderId="1" fillId="15" fontId="4" numFmtId="0" xfId="0" applyAlignment="1" applyBorder="1" applyFont="1">
      <alignment horizontal="left" vertical="center"/>
    </xf>
    <xf borderId="1" fillId="15" fontId="29" numFmtId="0" xfId="0" applyAlignment="1" applyBorder="1" applyFont="1">
      <alignment horizontal="center" vertical="center"/>
    </xf>
    <xf borderId="1" fillId="16" fontId="30" numFmtId="0" xfId="0" applyAlignment="1" applyBorder="1" applyFill="1" applyFont="1">
      <alignment horizontal="center" vertical="center"/>
    </xf>
    <xf borderId="1" fillId="16" fontId="31" numFmtId="0" xfId="0" applyAlignment="1" applyBorder="1" applyFont="1">
      <alignment horizontal="center" vertical="center"/>
    </xf>
    <xf borderId="1" fillId="16" fontId="32" numFmtId="0" xfId="0" applyAlignment="1" applyBorder="1" applyFont="1">
      <alignment horizontal="left" vertical="center"/>
    </xf>
    <xf borderId="1" fillId="16" fontId="4" numFmtId="0" xfId="0" applyAlignment="1" applyBorder="1" applyFont="1">
      <alignment horizontal="left" vertical="center"/>
    </xf>
    <xf borderId="1" fillId="16" fontId="32" numFmtId="0" xfId="0" applyAlignment="1" applyBorder="1" applyFont="1">
      <alignment horizontal="center" vertical="center"/>
    </xf>
    <xf borderId="1" fillId="17" fontId="33" numFmtId="0" xfId="0" applyAlignment="1" applyBorder="1" applyFill="1" applyFont="1">
      <alignment horizontal="center" vertical="center"/>
    </xf>
    <xf borderId="1" fillId="17" fontId="34" numFmtId="0" xfId="0" applyAlignment="1" applyBorder="1" applyFont="1">
      <alignment horizontal="center" vertical="center"/>
    </xf>
    <xf borderId="1" fillId="17" fontId="35" numFmtId="0" xfId="0" applyAlignment="1" applyBorder="1" applyFont="1">
      <alignment horizontal="left" vertical="center"/>
    </xf>
    <xf borderId="1" fillId="17" fontId="4" numFmtId="0" xfId="0" applyAlignment="1" applyBorder="1" applyFont="1">
      <alignment horizontal="left" vertical="center"/>
    </xf>
    <xf borderId="1" fillId="17" fontId="35" numFmtId="0" xfId="0" applyAlignment="1" applyBorder="1" applyFont="1">
      <alignment horizontal="center" vertical="center"/>
    </xf>
    <xf borderId="1" fillId="18" fontId="36" numFmtId="0" xfId="0" applyAlignment="1" applyBorder="1" applyFill="1" applyFont="1">
      <alignment horizontal="center" vertical="center"/>
    </xf>
    <xf borderId="1" fillId="18" fontId="37" numFmtId="0" xfId="0" applyAlignment="1" applyBorder="1" applyFont="1">
      <alignment horizontal="center" vertical="center"/>
    </xf>
    <xf borderId="1" fillId="18" fontId="38" numFmtId="0" xfId="0" applyAlignment="1" applyBorder="1" applyFont="1">
      <alignment horizontal="left" vertical="center"/>
    </xf>
    <xf borderId="1" fillId="18" fontId="4" numFmtId="0" xfId="0" applyAlignment="1" applyBorder="1" applyFont="1">
      <alignment horizontal="left" vertical="center"/>
    </xf>
    <xf borderId="1" fillId="18" fontId="38" numFmtId="0" xfId="0" applyAlignment="1" applyBorder="1" applyFont="1">
      <alignment horizontal="center" vertical="center"/>
    </xf>
    <xf borderId="0" fillId="0" fontId="39" numFmtId="0" xfId="0" applyFont="1"/>
    <xf borderId="1" fillId="3" fontId="29" numFmtId="0" xfId="0" applyAlignment="1" applyBorder="1" applyFont="1">
      <alignment horizontal="center" vertical="center"/>
    </xf>
    <xf borderId="1" fillId="3" fontId="4" numFmtId="0" xfId="0" applyAlignment="1" applyBorder="1" applyFont="1">
      <alignment horizontal="center" vertical="center"/>
    </xf>
    <xf borderId="1" fillId="9" fontId="32" numFmtId="0" xfId="0" applyAlignment="1" applyBorder="1" applyFont="1">
      <alignment horizontal="center" vertical="center"/>
    </xf>
    <xf borderId="1" fillId="9" fontId="4" numFmtId="0" xfId="0" applyAlignment="1" applyBorder="1" applyFont="1">
      <alignment horizontal="center" vertical="center"/>
    </xf>
    <xf borderId="1" fillId="9" fontId="4" numFmtId="0" xfId="0" applyAlignment="1" applyBorder="1" applyFont="1">
      <alignment horizontal="left" vertical="center"/>
    </xf>
    <xf borderId="1" fillId="3" fontId="38" numFmtId="0" xfId="0" applyAlignment="1" applyBorder="1" applyFont="1">
      <alignment horizontal="center" vertical="center"/>
    </xf>
    <xf borderId="1" fillId="10" fontId="3" numFmtId="0" xfId="0" applyAlignment="1" applyBorder="1" applyFont="1">
      <alignment horizontal="center" shrinkToFit="0" vertical="center" wrapText="1"/>
    </xf>
    <xf borderId="1" fillId="10" fontId="3" numFmtId="0" xfId="0" applyAlignment="1" applyBorder="1" applyFont="1">
      <alignment horizontal="center" readingOrder="0" shrinkToFit="0" vertical="center" wrapText="1"/>
    </xf>
    <xf borderId="0" fillId="19" fontId="39" numFmtId="0" xfId="0" applyAlignment="1" applyFill="1" applyFont="1">
      <alignment horizontal="left" shrinkToFit="0" wrapText="1"/>
    </xf>
    <xf borderId="0" fillId="20" fontId="9" numFmtId="0" xfId="0" applyAlignment="1" applyFill="1" applyFont="1">
      <alignment horizontal="left"/>
    </xf>
    <xf borderId="1" fillId="3" fontId="40" numFmtId="0" xfId="0" applyAlignment="1" applyBorder="1" applyFont="1">
      <alignment horizontal="left" readingOrder="0" vertical="center"/>
    </xf>
    <xf borderId="1" fillId="3" fontId="4" numFmtId="0" xfId="0" applyAlignment="1" applyBorder="1" applyFont="1">
      <alignment horizontal="left" vertical="center"/>
    </xf>
    <xf borderId="1" fillId="3" fontId="4" numFmtId="0" xfId="0" applyAlignment="1" applyBorder="1" applyFont="1">
      <alignment horizontal="left" readingOrder="0" vertical="center"/>
    </xf>
    <xf borderId="1" fillId="3" fontId="29" numFmtId="0" xfId="0" applyAlignment="1" applyBorder="1" applyFont="1">
      <alignment horizontal="left" readingOrder="0" vertical="center"/>
    </xf>
    <xf borderId="1" fillId="3" fontId="4" numFmtId="0" xfId="0" applyAlignment="1" applyBorder="1" applyFont="1">
      <alignment horizontal="center" readingOrder="0" vertical="center"/>
    </xf>
    <xf borderId="1" fillId="21" fontId="40" numFmtId="0" xfId="0" applyAlignment="1" applyBorder="1" applyFill="1" applyFont="1">
      <alignment horizontal="left" readingOrder="0" vertical="center"/>
    </xf>
    <xf borderId="1" fillId="21" fontId="4" numFmtId="0" xfId="0" applyAlignment="1" applyBorder="1" applyFont="1">
      <alignment horizontal="left" vertical="center"/>
    </xf>
    <xf borderId="1" fillId="21" fontId="4" numFmtId="0" xfId="0" applyAlignment="1" applyBorder="1" applyFont="1">
      <alignment horizontal="left" readingOrder="0" vertical="center"/>
    </xf>
    <xf borderId="1" fillId="21" fontId="29" numFmtId="0" xfId="0" applyAlignment="1" applyBorder="1" applyFont="1">
      <alignment horizontal="left" vertical="center"/>
    </xf>
    <xf borderId="1" fillId="3" fontId="29" numFmtId="0" xfId="0" applyAlignment="1" applyBorder="1" applyFont="1">
      <alignment horizontal="left" vertical="center"/>
    </xf>
    <xf borderId="0" fillId="3" fontId="41" numFmtId="0" xfId="0" applyFont="1"/>
    <xf borderId="0" fillId="3" fontId="4" numFmtId="0" xfId="0" applyAlignment="1" applyFont="1">
      <alignment horizontal="left" vertical="center"/>
    </xf>
    <xf borderId="0" fillId="21" fontId="41" numFmtId="0" xfId="0" applyFont="1"/>
    <xf borderId="0" fillId="0" fontId="7" numFmtId="0" xfId="0" applyAlignment="1" applyFont="1">
      <alignment readingOrder="0"/>
    </xf>
    <xf borderId="0" fillId="3" fontId="4" numFmtId="0" xfId="0" applyAlignment="1" applyFont="1">
      <alignment horizontal="left" readingOrder="0" vertical="center"/>
    </xf>
    <xf borderId="0" fillId="3" fontId="41" numFmtId="0" xfId="0" applyAlignment="1" applyFont="1">
      <alignment readingOrder="0"/>
    </xf>
    <xf borderId="0" fillId="21" fontId="41" numFmtId="0" xfId="0" applyAlignment="1" applyFont="1">
      <alignment readingOrder="0"/>
    </xf>
    <xf borderId="0" fillId="21" fontId="41" numFmtId="0" xfId="0" applyFont="1"/>
    <xf borderId="0" fillId="21" fontId="4" numFmtId="0" xfId="0" applyAlignment="1" applyFont="1">
      <alignment horizontal="left" readingOrder="0" vertical="center"/>
    </xf>
    <xf borderId="0" fillId="21" fontId="40" numFmtId="0" xfId="0" applyAlignment="1" applyFont="1">
      <alignment horizontal="left" readingOrder="0" vertical="center"/>
    </xf>
    <xf borderId="0" fillId="21" fontId="40" numFmtId="0" xfId="0" applyAlignment="1" applyFont="1">
      <alignment horizontal="left" readingOrder="0" vertical="center"/>
    </xf>
    <xf borderId="0" fillId="21" fontId="41" numFmtId="0" xfId="0" applyAlignment="1" applyFont="1">
      <alignment readingOrder="0"/>
    </xf>
    <xf borderId="0" fillId="3" fontId="4" numFmtId="0" xfId="0" applyAlignment="1" applyFont="1">
      <alignment horizontal="left" vertical="center"/>
    </xf>
    <xf borderId="0" fillId="21" fontId="4" numFmtId="0" xfId="0" applyAlignment="1" applyFont="1">
      <alignment horizontal="left" readingOrder="0" vertical="center"/>
    </xf>
    <xf borderId="0" fillId="21" fontId="4" numFmtId="0" xfId="0" applyAlignment="1" applyFont="1">
      <alignment horizontal="left" vertical="center"/>
    </xf>
    <xf borderId="0" fillId="3" fontId="41" numFmtId="0" xfId="0" applyAlignment="1" applyFont="1">
      <alignment readingOrder="0"/>
    </xf>
    <xf borderId="0" fillId="21" fontId="4" numFmtId="0" xfId="0" applyAlignment="1" applyFont="1">
      <alignment horizontal="left" readingOrder="0" vertical="center"/>
    </xf>
    <xf borderId="0" fillId="22" fontId="9" numFmtId="0" xfId="0" applyAlignment="1" applyFill="1" applyFont="1">
      <alignment horizontal="left"/>
    </xf>
    <xf borderId="1" fillId="11" fontId="32" numFmtId="0" xfId="0" applyAlignment="1" applyBorder="1" applyFont="1">
      <alignment horizontal="left" readingOrder="0" vertical="center"/>
    </xf>
    <xf borderId="1" fillId="11" fontId="29" numFmtId="0" xfId="0" applyAlignment="1" applyBorder="1" applyFont="1">
      <alignment horizontal="left" vertical="center"/>
    </xf>
    <xf borderId="1" fillId="3" fontId="32" numFmtId="0" xfId="0" applyAlignment="1" applyBorder="1" applyFont="1">
      <alignment horizontal="left" vertical="center"/>
    </xf>
    <xf borderId="1" fillId="3" fontId="29" numFmtId="0" xfId="0" applyAlignment="1" applyBorder="1" applyFont="1">
      <alignment horizontal="left" vertical="center"/>
    </xf>
    <xf borderId="1" fillId="11" fontId="32" numFmtId="0" xfId="0" applyAlignment="1" applyBorder="1" applyFont="1">
      <alignment horizontal="left" vertical="center"/>
    </xf>
    <xf borderId="0" fillId="23" fontId="9" numFmtId="0" xfId="0" applyAlignment="1" applyFill="1" applyFont="1">
      <alignment horizontal="left"/>
    </xf>
    <xf borderId="1" fillId="11" fontId="42" numFmtId="0" xfId="0" applyAlignment="1" applyBorder="1" applyFont="1">
      <alignment horizontal="left" readingOrder="0" vertical="center"/>
    </xf>
    <xf borderId="1" fillId="11" fontId="43" numFmtId="0" xfId="0" applyAlignment="1" applyBorder="1" applyFont="1">
      <alignment horizontal="left" readingOrder="0" vertical="center"/>
    </xf>
    <xf borderId="1" fillId="11" fontId="29" numFmtId="0" xfId="0" applyAlignment="1" applyBorder="1" applyFont="1">
      <alignment horizontal="left" readingOrder="0" vertical="center"/>
    </xf>
    <xf borderId="1" fillId="3" fontId="42" numFmtId="0" xfId="0" applyAlignment="1" applyBorder="1" applyFont="1">
      <alignment horizontal="left" readingOrder="0" vertical="center"/>
    </xf>
    <xf borderId="1" fillId="3" fontId="43" numFmtId="0" xfId="0" applyAlignment="1" applyBorder="1" applyFont="1">
      <alignment horizontal="left" readingOrder="0" vertical="center"/>
    </xf>
    <xf borderId="9" fillId="11" fontId="42" numFmtId="0" xfId="0" applyAlignment="1" applyBorder="1" applyFont="1">
      <alignment horizontal="left" readingOrder="0" vertical="center"/>
    </xf>
    <xf borderId="9" fillId="11" fontId="4" numFmtId="0" xfId="0" applyAlignment="1" applyBorder="1" applyFont="1">
      <alignment horizontal="left" vertical="center"/>
    </xf>
    <xf borderId="9" fillId="11" fontId="43" numFmtId="0" xfId="0" applyAlignment="1" applyBorder="1" applyFont="1">
      <alignment horizontal="left" readingOrder="0" vertical="center"/>
    </xf>
    <xf borderId="0" fillId="11" fontId="42" numFmtId="0" xfId="0" applyAlignment="1" applyFont="1">
      <alignment horizontal="left" readingOrder="0" vertical="center"/>
    </xf>
    <xf borderId="0" fillId="11" fontId="4" numFmtId="0" xfId="0" applyAlignment="1" applyFont="1">
      <alignment horizontal="left" vertical="center"/>
    </xf>
    <xf borderId="0" fillId="11" fontId="43" numFmtId="0" xfId="0" applyAlignment="1" applyFont="1">
      <alignment horizontal="left" vertical="center"/>
    </xf>
    <xf borderId="0" fillId="3" fontId="4" numFmtId="0" xfId="0" applyAlignment="1" applyFont="1">
      <alignment horizontal="left" vertical="center"/>
    </xf>
    <xf borderId="0" fillId="11" fontId="29" numFmtId="0" xfId="0" applyAlignment="1" applyFont="1">
      <alignment horizontal="left" readingOrder="0" vertical="center"/>
    </xf>
    <xf borderId="0" fillId="3" fontId="4" numFmtId="0" xfId="0" applyAlignment="1" applyFont="1">
      <alignment horizontal="center" readingOrder="0" vertical="center"/>
    </xf>
    <xf borderId="10" fillId="24" fontId="9" numFmtId="0" xfId="0" applyAlignment="1" applyBorder="1" applyFill="1" applyFont="1">
      <alignment horizontal="left"/>
    </xf>
    <xf borderId="11" fillId="0" fontId="13" numFmtId="0" xfId="0" applyBorder="1" applyFont="1"/>
    <xf borderId="12" fillId="11" fontId="38" numFmtId="0" xfId="0" applyAlignment="1" applyBorder="1" applyFont="1">
      <alignment horizontal="left" readingOrder="0" vertical="center"/>
    </xf>
    <xf borderId="12" fillId="11" fontId="4" numFmtId="0" xfId="0" applyAlignment="1" applyBorder="1" applyFont="1">
      <alignment horizontal="left" vertical="center"/>
    </xf>
    <xf borderId="12" fillId="11" fontId="43" numFmtId="0" xfId="0" applyAlignment="1" applyBorder="1" applyFont="1">
      <alignment horizontal="left" readingOrder="0" vertical="center"/>
    </xf>
    <xf borderId="12" fillId="11" fontId="29" numFmtId="0" xfId="0" applyAlignment="1" applyBorder="1" applyFont="1">
      <alignment horizontal="left" readingOrder="0" vertical="center"/>
    </xf>
    <xf borderId="1" fillId="3" fontId="38" numFmtId="0" xfId="0" applyAlignment="1" applyBorder="1" applyFont="1">
      <alignment horizontal="left" readingOrder="0" vertical="center"/>
    </xf>
    <xf borderId="1" fillId="11" fontId="38" numFmtId="0" xfId="0" applyAlignment="1" applyBorder="1" applyFont="1">
      <alignment horizontal="left" readingOrder="0" vertical="center"/>
    </xf>
    <xf borderId="0" fillId="0" fontId="41" numFmtId="0" xfId="0" applyFont="1"/>
    <xf borderId="0" fillId="20" fontId="6" numFmtId="0" xfId="0" applyAlignment="1" applyFont="1">
      <alignment horizontal="center" vertical="center"/>
    </xf>
    <xf borderId="0" fillId="0" fontId="44" numFmtId="0" xfId="0" applyFont="1"/>
    <xf borderId="0" fillId="3" fontId="7" numFmtId="0" xfId="0" applyFont="1"/>
    <xf borderId="0" fillId="3" fontId="45" numFmtId="0" xfId="0" applyFont="1"/>
    <xf borderId="0" fillId="3" fontId="7" numFmtId="0" xfId="0" applyFont="1"/>
    <xf borderId="0" fillId="3" fontId="7" numFmtId="0" xfId="0" applyFont="1"/>
    <xf borderId="0" fillId="21" fontId="7" numFmtId="0" xfId="0" applyFont="1"/>
    <xf borderId="0" fillId="21" fontId="45" numFmtId="0" xfId="0" applyFont="1"/>
    <xf borderId="0" fillId="21" fontId="7" numFmtId="0" xfId="0" applyFont="1"/>
    <xf borderId="0" fillId="3" fontId="46" numFmtId="0" xfId="0" applyAlignment="1" applyFont="1">
      <alignment horizontal="left" vertical="center"/>
    </xf>
    <xf borderId="0" fillId="0" fontId="41" numFmtId="0" xfId="0" applyFont="1"/>
    <xf borderId="0" fillId="21" fontId="7" numFmtId="0" xfId="0" applyFont="1"/>
    <xf borderId="0" fillId="3" fontId="46" numFmtId="0" xfId="0" applyAlignment="1" applyFont="1">
      <alignment horizontal="left" vertical="center"/>
    </xf>
    <xf borderId="0" fillId="0" fontId="41" numFmtId="0" xfId="0" applyFont="1"/>
    <xf borderId="0" fillId="3" fontId="45" numFmtId="0" xfId="0" applyFont="1"/>
    <xf borderId="0" fillId="21" fontId="45" numFmtId="0" xfId="0" applyFont="1"/>
    <xf borderId="0" fillId="25" fontId="41" numFmtId="0" xfId="0" applyAlignment="1" applyFill="1" applyFont="1">
      <alignment readingOrder="0"/>
    </xf>
    <xf borderId="1" fillId="26" fontId="3" numFmtId="0" xfId="0" applyAlignment="1" applyBorder="1" applyFill="1" applyFont="1">
      <alignment horizontal="center" shrinkToFit="0" vertical="center" wrapText="1"/>
    </xf>
    <xf borderId="1" fillId="26" fontId="3" numFmtId="0" xfId="0" applyAlignment="1" applyBorder="1" applyFont="1">
      <alignment horizontal="center" readingOrder="0" shrinkToFit="0" vertical="center" wrapText="1"/>
    </xf>
    <xf borderId="0" fillId="3" fontId="47" numFmtId="0" xfId="0" applyAlignment="1" applyFont="1">
      <alignment vertical="center"/>
    </xf>
    <xf borderId="1" fillId="15" fontId="48" numFmtId="0" xfId="0" applyAlignment="1" applyBorder="1" applyFont="1">
      <alignment horizontal="center"/>
    </xf>
    <xf borderId="0" fillId="0" fontId="45" numFmtId="0" xfId="0" applyFont="1"/>
    <xf borderId="1" fillId="3" fontId="46" numFmtId="0" xfId="0" applyAlignment="1" applyBorder="1" applyFont="1">
      <alignment horizontal="left" vertical="center"/>
    </xf>
    <xf borderId="1" fillId="15" fontId="4" numFmtId="0" xfId="0" applyAlignment="1" applyBorder="1" applyFont="1">
      <alignment horizontal="left" vertical="center"/>
    </xf>
    <xf borderId="1" fillId="15" fontId="46" numFmtId="0" xfId="0" applyAlignment="1" applyBorder="1" applyFont="1">
      <alignment horizontal="left" vertical="center"/>
    </xf>
    <xf borderId="0" fillId="0" fontId="41" numFmtId="0" xfId="0" applyFont="1"/>
    <xf borderId="0" fillId="0" fontId="47" numFmtId="0" xfId="0" applyFont="1"/>
    <xf borderId="1" fillId="17" fontId="4" numFmtId="0" xfId="0" applyAlignment="1" applyBorder="1" applyFont="1">
      <alignment vertical="center"/>
    </xf>
    <xf borderId="0" fillId="0" fontId="45" numFmtId="0" xfId="0" applyAlignment="1" applyFont="1">
      <alignment readingOrder="0"/>
    </xf>
    <xf borderId="0" fillId="0" fontId="47" numFmtId="0" xfId="0" applyAlignment="1" applyFont="1">
      <alignment readingOrder="0"/>
    </xf>
    <xf borderId="0" fillId="0" fontId="45" numFmtId="0" xfId="0" applyAlignment="1" applyFont="1">
      <alignment readingOrder="0"/>
    </xf>
    <xf borderId="1" fillId="27" fontId="3" numFmtId="0" xfId="0" applyAlignment="1" applyBorder="1" applyFill="1" applyFont="1">
      <alignment horizontal="center" shrinkToFit="0" vertical="center" wrapText="1"/>
    </xf>
    <xf borderId="1" fillId="27" fontId="3" numFmtId="0" xfId="0" applyAlignment="1" applyBorder="1" applyFont="1">
      <alignment horizontal="center" readingOrder="0" shrinkToFit="0" vertical="center" wrapText="1"/>
    </xf>
    <xf borderId="1" fillId="28" fontId="3" numFmtId="0" xfId="0" applyAlignment="1" applyBorder="1" applyFill="1" applyFont="1">
      <alignment horizontal="center" shrinkToFit="0" vertical="center" wrapText="1"/>
    </xf>
    <xf borderId="1" fillId="28" fontId="3" numFmtId="0" xfId="0" applyAlignment="1" applyBorder="1" applyFont="1">
      <alignment horizontal="center" readingOrder="0" shrinkToFit="0" vertical="center" wrapText="1"/>
    </xf>
    <xf borderId="1" fillId="29" fontId="49" numFmtId="0" xfId="0" applyAlignment="1" applyBorder="1" applyFill="1" applyFont="1">
      <alignment vertical="center"/>
    </xf>
    <xf borderId="1" fillId="29" fontId="4" numFmtId="0" xfId="0" applyAlignment="1" applyBorder="1" applyFont="1">
      <alignment vertical="center"/>
    </xf>
    <xf borderId="1" fillId="29" fontId="50" numFmtId="0" xfId="0" applyAlignment="1" applyBorder="1" applyFont="1">
      <alignment vertical="center"/>
    </xf>
    <xf borderId="1" fillId="29" fontId="4" numFmtId="0" xfId="0" applyAlignment="1" applyBorder="1" applyFont="1">
      <alignment readingOrder="0" vertical="center"/>
    </xf>
    <xf borderId="1" fillId="29" fontId="4" numFmtId="0" xfId="0" applyAlignment="1" applyBorder="1" applyFont="1">
      <alignment shrinkToFit="0" vertical="top" wrapText="1"/>
    </xf>
    <xf borderId="1" fillId="29" fontId="51" numFmtId="0" xfId="0" applyAlignment="1" applyBorder="1" applyFont="1">
      <alignment horizontal="left" vertical="center"/>
    </xf>
    <xf borderId="0" fillId="29" fontId="41" numFmtId="0" xfId="0" applyFont="1"/>
    <xf borderId="1" fillId="3" fontId="49" numFmtId="0" xfId="0" applyAlignment="1" applyBorder="1" applyFont="1">
      <alignment vertical="center"/>
    </xf>
    <xf borderId="1" fillId="3" fontId="4" numFmtId="0" xfId="0" applyAlignment="1" applyBorder="1" applyFont="1">
      <alignment vertical="center"/>
    </xf>
    <xf borderId="1" fillId="3" fontId="29" numFmtId="0" xfId="0" applyAlignment="1" applyBorder="1" applyFont="1">
      <alignment vertical="center"/>
    </xf>
    <xf borderId="1" fillId="3" fontId="4" numFmtId="0" xfId="0" applyAlignment="1" applyBorder="1" applyFont="1">
      <alignment shrinkToFit="0" vertical="top" wrapText="1"/>
    </xf>
    <xf borderId="1" fillId="3" fontId="51" numFmtId="0" xfId="0" applyAlignment="1" applyBorder="1" applyFont="1">
      <alignment horizontal="left" vertical="center"/>
    </xf>
    <xf borderId="1" fillId="29" fontId="52" numFmtId="0" xfId="0" applyAlignment="1" applyBorder="1" applyFont="1">
      <alignment vertical="center"/>
    </xf>
    <xf borderId="1" fillId="3" fontId="49" numFmtId="0" xfId="0" applyAlignment="1" applyBorder="1" applyFont="1">
      <alignment readingOrder="0" vertical="center"/>
    </xf>
    <xf borderId="1" fillId="3" fontId="4" numFmtId="0" xfId="0" applyAlignment="1" applyBorder="1" applyFont="1">
      <alignment readingOrder="0" vertical="center"/>
    </xf>
    <xf borderId="1" fillId="3" fontId="50" numFmtId="0" xfId="0" applyAlignment="1" applyBorder="1" applyFont="1">
      <alignment vertical="center"/>
    </xf>
    <xf borderId="1" fillId="17" fontId="49" numFmtId="0" xfId="0" applyAlignment="1" applyBorder="1" applyFont="1">
      <alignment readingOrder="0" vertical="center"/>
    </xf>
    <xf borderId="1" fillId="17" fontId="4" numFmtId="0" xfId="0" applyAlignment="1" applyBorder="1" applyFont="1">
      <alignment readingOrder="0" vertical="center"/>
    </xf>
    <xf borderId="1" fillId="17" fontId="29" numFmtId="0" xfId="0" applyAlignment="1" applyBorder="1" applyFont="1">
      <alignment vertical="center"/>
    </xf>
    <xf borderId="1" fillId="17" fontId="4" numFmtId="0" xfId="0" applyAlignment="1" applyBorder="1" applyFont="1">
      <alignment shrinkToFit="0" vertical="top" wrapText="1"/>
    </xf>
    <xf borderId="1" fillId="17" fontId="51" numFmtId="0" xfId="0" applyAlignment="1" applyBorder="1" applyFont="1">
      <alignment horizontal="left" vertical="center"/>
    </xf>
    <xf borderId="1" fillId="3" fontId="52" numFmtId="0" xfId="0" applyAlignment="1" applyBorder="1" applyFont="1">
      <alignment vertical="center"/>
    </xf>
    <xf borderId="1" fillId="17" fontId="50" numFmtId="0" xfId="0" applyAlignment="1" applyBorder="1" applyFont="1">
      <alignment vertical="center"/>
    </xf>
    <xf borderId="1" fillId="17" fontId="52" numFmtId="0" xfId="0" applyAlignment="1" applyBorder="1" applyFont="1">
      <alignment vertical="center"/>
    </xf>
    <xf borderId="0" fillId="17" fontId="49" numFmtId="0" xfId="0" applyAlignment="1" applyFont="1">
      <alignment readingOrder="0" vertical="center"/>
    </xf>
    <xf borderId="0" fillId="17" fontId="4" numFmtId="0" xfId="0" applyAlignment="1" applyFont="1">
      <alignment readingOrder="0" vertical="center"/>
    </xf>
    <xf borderId="0" fillId="17" fontId="4" numFmtId="0" xfId="0" applyAlignment="1" applyFont="1">
      <alignment vertical="center"/>
    </xf>
    <xf borderId="0" fillId="17" fontId="4" numFmtId="0" xfId="0" applyAlignment="1" applyFont="1">
      <alignment vertical="center"/>
    </xf>
    <xf borderId="0" fillId="17" fontId="52" numFmtId="0" xfId="0" applyAlignment="1" applyFont="1">
      <alignment vertical="center"/>
    </xf>
    <xf borderId="0" fillId="17" fontId="4" numFmtId="0" xfId="0" applyAlignment="1" applyFont="1">
      <alignment shrinkToFit="0" vertical="top" wrapText="1"/>
    </xf>
    <xf borderId="0" fillId="17" fontId="51" numFmtId="0" xfId="0" applyAlignment="1" applyFont="1">
      <alignment horizontal="left" vertical="center"/>
    </xf>
    <xf borderId="1" fillId="30" fontId="3" numFmtId="0" xfId="0" applyAlignment="1" applyBorder="1" applyFill="1" applyFont="1">
      <alignment horizontal="center" shrinkToFit="0" vertical="center" wrapText="1"/>
    </xf>
    <xf borderId="1" fillId="30" fontId="3" numFmtId="0" xfId="0" applyAlignment="1" applyBorder="1" applyFont="1">
      <alignment horizontal="center" readingOrder="0" shrinkToFit="0" vertical="center" wrapText="1"/>
    </xf>
    <xf borderId="0" fillId="15" fontId="48" numFmtId="0" xfId="0" applyAlignment="1" applyFont="1">
      <alignment horizontal="center"/>
    </xf>
    <xf borderId="1" fillId="3" fontId="50" numFmtId="0" xfId="0" applyAlignment="1" applyBorder="1" applyFont="1">
      <alignment horizontal="left" vertical="center"/>
    </xf>
    <xf borderId="1" fillId="3" fontId="46" numFmtId="0" xfId="0" applyAlignment="1" applyBorder="1" applyFont="1">
      <alignment horizontal="left" vertical="center"/>
    </xf>
    <xf borderId="0" fillId="19" fontId="39" numFmtId="0" xfId="0" applyAlignment="1" applyFont="1">
      <alignment shrinkToFit="0" wrapText="1"/>
    </xf>
    <xf borderId="1" fillId="23" fontId="3" numFmtId="0" xfId="0" applyAlignment="1" applyBorder="1" applyFont="1">
      <alignment horizontal="center" shrinkToFit="0" vertical="center" wrapText="1"/>
    </xf>
    <xf borderId="1" fillId="23" fontId="3" numFmtId="0" xfId="0" applyAlignment="1" applyBorder="1" applyFont="1">
      <alignment horizontal="center" readingOrder="0" shrinkToFit="0" vertical="center" wrapText="1"/>
    </xf>
    <xf borderId="0" fillId="0" fontId="7" numFmtId="0" xfId="0" applyFont="1"/>
    <xf borderId="0" fillId="0" fontId="45" numFmtId="0" xfId="0" applyFont="1"/>
    <xf borderId="0" fillId="0" fontId="53" numFmtId="0" xfId="0" applyFont="1"/>
    <xf borderId="0" fillId="0" fontId="53" numFmtId="0" xfId="0" applyAlignment="1" applyFont="1">
      <alignment horizontal="center" readingOrder="0"/>
    </xf>
    <xf borderId="0" fillId="0" fontId="7" numFmtId="0" xfId="0" applyFont="1"/>
    <xf borderId="0" fillId="0" fontId="53" numFmtId="0" xfId="0" applyFont="1"/>
    <xf borderId="1" fillId="0" fontId="46" numFmtId="0" xfId="0" applyAlignment="1" applyBorder="1" applyFont="1">
      <alignment horizontal="left" vertical="center"/>
    </xf>
    <xf borderId="0" fillId="14" fontId="9" numFmtId="0" xfId="0" applyAlignment="1" applyFont="1">
      <alignment horizontal="left"/>
    </xf>
    <xf borderId="1" fillId="31" fontId="29" numFmtId="0" xfId="0" applyAlignment="1" applyBorder="1" applyFill="1" applyFont="1">
      <alignment horizontal="left" vertical="center"/>
    </xf>
    <xf borderId="1" fillId="31" fontId="4" numFmtId="0" xfId="0" applyAlignment="1" applyBorder="1" applyFont="1">
      <alignment horizontal="left" vertical="center"/>
    </xf>
    <xf borderId="1" fillId="31" fontId="46" numFmtId="0" xfId="0" applyAlignment="1" applyBorder="1" applyFont="1">
      <alignment horizontal="left" vertical="center"/>
    </xf>
    <xf borderId="0" fillId="32" fontId="9" numFmtId="0" xfId="0" applyAlignment="1" applyFill="1" applyFont="1">
      <alignment horizontal="left"/>
    </xf>
    <xf borderId="1" fillId="33" fontId="35" numFmtId="0" xfId="0" applyAlignment="1" applyBorder="1" applyFill="1" applyFont="1">
      <alignment horizontal="left" vertical="center"/>
    </xf>
    <xf borderId="1" fillId="33" fontId="4" numFmtId="0" xfId="0" applyAlignment="1" applyBorder="1" applyFont="1">
      <alignment horizontal="left" vertical="center"/>
    </xf>
    <xf borderId="1" fillId="33" fontId="46" numFmtId="0" xfId="0" applyAlignment="1" applyBorder="1" applyFont="1">
      <alignment horizontal="left" vertical="center"/>
    </xf>
    <xf borderId="1" fillId="3" fontId="35" numFmtId="0" xfId="0" applyAlignment="1" applyBorder="1" applyFont="1">
      <alignment horizontal="left" vertical="center"/>
    </xf>
    <xf borderId="0" fillId="24" fontId="9" numFmtId="0" xfId="0" applyAlignment="1" applyFont="1">
      <alignment horizontal="left"/>
    </xf>
    <xf borderId="1" fillId="18" fontId="46" numFmtId="0" xfId="0" applyAlignment="1" applyBorder="1" applyFont="1">
      <alignment horizontal="left" vertical="center"/>
    </xf>
    <xf borderId="1" fillId="3" fontId="38" numFmtId="0" xfId="0" applyAlignment="1" applyBorder="1" applyFont="1">
      <alignment horizontal="left" vertical="center"/>
    </xf>
    <xf borderId="1" fillId="34" fontId="3" numFmtId="0" xfId="0" applyAlignment="1" applyBorder="1" applyFill="1" applyFont="1">
      <alignment horizontal="center" shrinkToFit="0" vertical="center" wrapText="1"/>
    </xf>
    <xf borderId="1" fillId="3" fontId="47" numFmtId="0" xfId="0" applyAlignment="1" applyBorder="1" applyFont="1">
      <alignment vertical="center"/>
    </xf>
    <xf borderId="1" fillId="3" fontId="32" numFmtId="0" xfId="0" applyAlignment="1" applyBorder="1" applyFont="1">
      <alignment vertical="center"/>
    </xf>
    <xf borderId="1" fillId="35" fontId="4" numFmtId="0" xfId="0" applyAlignment="1" applyBorder="1" applyFill="1" applyFont="1">
      <alignment vertical="center"/>
    </xf>
    <xf borderId="1" fillId="3" fontId="47" numFmtId="164" xfId="0" applyAlignment="1" applyBorder="1" applyFont="1" applyNumberFormat="1">
      <alignment horizontal="left" vertical="center"/>
    </xf>
    <xf borderId="1" fillId="3" fontId="47" numFmtId="164" xfId="0" applyAlignment="1" applyBorder="1" applyFont="1" applyNumberFormat="1">
      <alignment horizontal="left" readingOrder="0" vertical="center"/>
    </xf>
    <xf borderId="0" fillId="0" fontId="41" numFmtId="0" xfId="0" applyAlignment="1" applyFont="1">
      <alignment readingOrder="0"/>
    </xf>
    <xf borderId="1" fillId="36" fontId="3" numFmtId="0" xfId="0" applyAlignment="1" applyBorder="1" applyFill="1" applyFont="1">
      <alignment horizontal="center" shrinkToFit="0" vertical="center" wrapText="1"/>
    </xf>
    <xf borderId="1" fillId="18" fontId="54" numFmtId="0" xfId="0" applyAlignment="1" applyBorder="1" applyFont="1">
      <alignment horizontal="center"/>
    </xf>
    <xf borderId="0" fillId="3" fontId="47" numFmtId="165" xfId="0" applyAlignment="1" applyFont="1" applyNumberFormat="1">
      <alignment vertical="center"/>
    </xf>
    <xf borderId="1" fillId="3" fontId="4" numFmtId="165" xfId="0" applyAlignment="1" applyBorder="1" applyFont="1" applyNumberFormat="1">
      <alignment horizontal="left" vertical="center"/>
    </xf>
    <xf borderId="1" fillId="18" fontId="4" numFmtId="165" xfId="0" applyAlignment="1" applyBorder="1" applyFont="1" applyNumberFormat="1">
      <alignment horizontal="left" vertical="center"/>
    </xf>
    <xf borderId="13" fillId="6" fontId="55" numFmtId="0" xfId="0" applyAlignment="1" applyBorder="1" applyFont="1">
      <alignment horizontal="center" vertical="center"/>
    </xf>
    <xf borderId="14" fillId="0" fontId="13" numFmtId="0" xfId="0" applyBorder="1" applyFont="1"/>
    <xf borderId="15" fillId="0" fontId="13" numFmtId="0" xfId="0" applyBorder="1" applyFont="1"/>
    <xf borderId="16" fillId="0" fontId="13" numFmtId="0" xfId="0" applyBorder="1" applyFont="1"/>
    <xf borderId="17" fillId="0" fontId="13" numFmtId="0" xfId="0" applyBorder="1" applyFont="1"/>
    <xf borderId="18" fillId="0" fontId="13" numFmtId="0" xfId="0" applyBorder="1" applyFont="1"/>
    <xf borderId="19" fillId="0" fontId="13" numFmtId="0" xfId="0" applyBorder="1" applyFont="1"/>
    <xf borderId="20" fillId="0" fontId="13" numFmtId="0" xfId="0" applyBorder="1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</dxfs>
  <tableStyles count="4">
    <tableStyle count="2" pivot="0" name="ITEM_MASTER-style">
      <tableStyleElement dxfId="1" type="firstRowStripe"/>
      <tableStyleElement dxfId="2" type="secondRowStripe"/>
    </tableStyle>
    <tableStyle count="2" pivot="0" name="ITEM_VISUAL-style">
      <tableStyleElement dxfId="1" type="firstRowStripe"/>
      <tableStyleElement dxfId="3" type="secondRowStripe"/>
    </tableStyle>
    <tableStyle count="2" pivot="0" name="CAR_REGISTRY-style">
      <tableStyleElement dxfId="1" type="firstRowStripe"/>
      <tableStyleElement dxfId="4" type="secondRowStripe"/>
    </tableStyle>
    <tableStyle count="2" pivot="0" name="CITY_LOOT_POOL-style">
      <tableStyleElement dxfId="1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123825</xdr:colOff>
      <xdr:row>5</xdr:row>
      <xdr:rowOff>9525</xdr:rowOff>
    </xdr:from>
    <xdr:ext cx="4276725" cy="53625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4:N167" displayName="Table_1" name="Table_1" id="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ITEM_MASTER-style" showColumnStripes="0" showFirstColumn="1" showLastColumn="1" showRowStripes="1"/>
</table>
</file>

<file path=xl/tables/table2.xml><?xml version="1.0" encoding="utf-8"?>
<table xmlns="http://schemas.openxmlformats.org/spreadsheetml/2006/main" headerRowCount="0" ref="A3:L166" displayName="Table_2" name="Table_2" id="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ITEM_VISUAL-style" showColumnStripes="0" showFirstColumn="1" showLastColumn="1" showRowStripes="1"/>
</table>
</file>

<file path=xl/tables/table3.xml><?xml version="1.0" encoding="utf-8"?>
<table xmlns="http://schemas.openxmlformats.org/spreadsheetml/2006/main" headerRowCount="0" ref="A3:M20" displayName="Table_3" name="Table_3" id="3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CAR_REGISTRY-style" showColumnStripes="0" showFirstColumn="1" showLastColumn="1" showRowStripes="1"/>
</table>
</file>

<file path=xl/tables/table4.xml><?xml version="1.0" encoding="utf-8"?>
<table xmlns="http://schemas.openxmlformats.org/spreadsheetml/2006/main" headerRowCount="0" ref="A4:L144" displayName="Table_4" name="Table_4" id="4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ITY_LOOT_POO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3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4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9"/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3" width="30.0"/>
    <col customWidth="1" min="4" max="4" width="36.0"/>
    <col customWidth="1" min="5" max="26" width="8.71"/>
  </cols>
  <sheetData>
    <row r="1" ht="30.0" customHeight="1">
      <c r="A1" s="1" t="s">
        <v>0</v>
      </c>
    </row>
    <row r="2">
      <c r="A2" s="2" t="s">
        <v>1</v>
      </c>
    </row>
    <row r="3" ht="6.0" customHeight="1"/>
    <row r="4">
      <c r="A4" s="3" t="s">
        <v>2</v>
      </c>
      <c r="B4" s="3" t="s">
        <v>3</v>
      </c>
      <c r="C4" s="3" t="s">
        <v>4</v>
      </c>
      <c r="D4" s="3" t="s">
        <v>5</v>
      </c>
    </row>
    <row r="5">
      <c r="A5" s="4" t="s">
        <v>6</v>
      </c>
      <c r="B5" s="4" t="s">
        <v>7</v>
      </c>
      <c r="C5" s="4" t="s">
        <v>8</v>
      </c>
      <c r="D5" s="4" t="s">
        <v>9</v>
      </c>
      <c r="F5" s="5"/>
      <c r="G5" s="5"/>
      <c r="H5" s="6" t="s">
        <v>10</v>
      </c>
      <c r="I5" s="5"/>
      <c r="J5" s="5"/>
      <c r="K5" s="5"/>
      <c r="L5" s="5"/>
      <c r="M5" s="5"/>
    </row>
    <row r="6">
      <c r="A6" s="7" t="s">
        <v>11</v>
      </c>
      <c r="B6" s="7" t="s">
        <v>12</v>
      </c>
      <c r="C6" s="7" t="s">
        <v>13</v>
      </c>
      <c r="D6" s="7" t="s">
        <v>9</v>
      </c>
      <c r="F6" s="8"/>
      <c r="G6" s="8"/>
      <c r="H6" s="8"/>
      <c r="I6" s="8"/>
      <c r="J6" s="8"/>
      <c r="K6" s="8"/>
      <c r="L6" s="8"/>
      <c r="M6" s="8"/>
    </row>
    <row r="7">
      <c r="A7" s="4" t="s">
        <v>14</v>
      </c>
      <c r="B7" s="4" t="s">
        <v>15</v>
      </c>
      <c r="C7" s="4" t="s">
        <v>16</v>
      </c>
      <c r="D7" s="4" t="s">
        <v>17</v>
      </c>
      <c r="F7" s="8"/>
      <c r="G7" s="8"/>
      <c r="H7" s="8"/>
      <c r="I7" s="8"/>
      <c r="J7" s="8"/>
      <c r="K7" s="8"/>
      <c r="L7" s="8"/>
      <c r="M7" s="8"/>
    </row>
    <row r="8">
      <c r="A8" s="7" t="s">
        <v>18</v>
      </c>
      <c r="B8" s="7" t="s">
        <v>19</v>
      </c>
      <c r="C8" s="7" t="s">
        <v>20</v>
      </c>
      <c r="D8" s="7" t="s">
        <v>21</v>
      </c>
      <c r="F8" s="8"/>
      <c r="G8" s="8"/>
      <c r="H8" s="8"/>
      <c r="I8" s="8"/>
      <c r="J8" s="8"/>
      <c r="K8" s="8"/>
      <c r="L8" s="8"/>
      <c r="M8" s="8"/>
    </row>
    <row r="9">
      <c r="A9" s="4" t="s">
        <v>22</v>
      </c>
      <c r="B9" s="4" t="s">
        <v>23</v>
      </c>
      <c r="C9" s="4" t="s">
        <v>21</v>
      </c>
      <c r="D9" s="4" t="s">
        <v>21</v>
      </c>
      <c r="F9" s="8"/>
      <c r="G9" s="8"/>
      <c r="H9" s="8"/>
      <c r="I9" s="8"/>
      <c r="J9" s="8"/>
      <c r="K9" s="8"/>
      <c r="L9" s="8"/>
      <c r="M9" s="8"/>
    </row>
    <row r="10">
      <c r="A10" s="7" t="s">
        <v>24</v>
      </c>
      <c r="B10" s="7" t="s">
        <v>25</v>
      </c>
      <c r="C10" s="7" t="s">
        <v>9</v>
      </c>
      <c r="D10" s="7" t="s">
        <v>9</v>
      </c>
      <c r="F10" s="8"/>
      <c r="G10" s="8"/>
      <c r="H10" s="8"/>
      <c r="I10" s="8"/>
      <c r="J10" s="8"/>
      <c r="K10" s="8"/>
      <c r="L10" s="8"/>
      <c r="M10" s="8"/>
    </row>
    <row r="11" ht="49.5" customHeight="1">
      <c r="A11" s="9" t="s">
        <v>26</v>
      </c>
      <c r="B11" s="9" t="s">
        <v>27</v>
      </c>
      <c r="C11" s="9" t="s">
        <v>8</v>
      </c>
      <c r="D11" s="9" t="s">
        <v>28</v>
      </c>
      <c r="F11" s="8"/>
      <c r="G11" s="8"/>
      <c r="H11" s="8"/>
      <c r="I11" s="8"/>
      <c r="J11" s="8"/>
      <c r="K11" s="8"/>
      <c r="L11" s="8"/>
      <c r="M11" s="8"/>
    </row>
    <row r="12">
      <c r="A12" s="10"/>
      <c r="F12" s="8"/>
      <c r="G12" s="8"/>
      <c r="H12" s="8"/>
      <c r="I12" s="8"/>
      <c r="J12" s="8"/>
      <c r="K12" s="8"/>
      <c r="L12" s="8"/>
      <c r="M12" s="8"/>
    </row>
    <row r="13" ht="15.75" customHeight="1">
      <c r="A13" s="11" t="s">
        <v>29</v>
      </c>
      <c r="F13" s="8"/>
      <c r="G13" s="8"/>
      <c r="H13" s="8"/>
      <c r="I13" s="8"/>
      <c r="J13" s="8"/>
      <c r="K13" s="8"/>
      <c r="L13" s="8"/>
      <c r="M13" s="8"/>
    </row>
    <row r="14" ht="15.75" customHeight="1">
      <c r="A14" s="12" t="s">
        <v>30</v>
      </c>
      <c r="F14" s="8"/>
      <c r="G14" s="8"/>
      <c r="H14" s="8"/>
      <c r="I14" s="8"/>
      <c r="J14" s="8"/>
      <c r="K14" s="8"/>
      <c r="L14" s="8"/>
      <c r="M14" s="8"/>
    </row>
    <row r="15" ht="15.75" customHeight="1">
      <c r="A15" s="12" t="s">
        <v>31</v>
      </c>
      <c r="F15" s="8"/>
      <c r="G15" s="8"/>
      <c r="H15" s="8"/>
      <c r="I15" s="8"/>
      <c r="J15" s="8"/>
      <c r="K15" s="8"/>
      <c r="L15" s="8"/>
      <c r="M15" s="8"/>
    </row>
    <row r="16" ht="15.75" customHeight="1">
      <c r="A16" s="12" t="s">
        <v>32</v>
      </c>
      <c r="F16" s="8"/>
      <c r="G16" s="8"/>
      <c r="H16" s="8"/>
      <c r="I16" s="8"/>
      <c r="J16" s="8"/>
      <c r="K16" s="8"/>
      <c r="L16" s="8"/>
      <c r="M16" s="8"/>
    </row>
    <row r="17" ht="15.75" customHeight="1">
      <c r="A17" s="13" t="s">
        <v>33</v>
      </c>
      <c r="F17" s="8"/>
      <c r="G17" s="8"/>
      <c r="H17" s="8"/>
      <c r="I17" s="8"/>
      <c r="J17" s="8"/>
      <c r="K17" s="8"/>
      <c r="L17" s="8"/>
      <c r="M17" s="8"/>
    </row>
    <row r="18" ht="15.75" customHeight="1">
      <c r="A18" s="11" t="s">
        <v>34</v>
      </c>
      <c r="F18" s="8"/>
      <c r="G18" s="8"/>
      <c r="H18" s="8"/>
      <c r="I18" s="8"/>
      <c r="J18" s="8"/>
      <c r="K18" s="8"/>
      <c r="L18" s="8"/>
      <c r="M18" s="8"/>
    </row>
    <row r="19" ht="15.75" customHeight="1">
      <c r="A19" s="12" t="s">
        <v>35</v>
      </c>
      <c r="F19" s="8"/>
      <c r="G19" s="8"/>
      <c r="H19" s="8"/>
      <c r="I19" s="8"/>
      <c r="J19" s="8"/>
      <c r="K19" s="8"/>
      <c r="L19" s="8"/>
      <c r="M19" s="8"/>
    </row>
    <row r="20">
      <c r="A20" s="14" t="s">
        <v>36</v>
      </c>
      <c r="B20" s="15"/>
      <c r="C20" s="15"/>
      <c r="D20" s="15"/>
      <c r="F20" s="8"/>
      <c r="G20" s="8"/>
      <c r="H20" s="8"/>
      <c r="I20" s="8"/>
      <c r="J20" s="8"/>
      <c r="K20" s="8"/>
      <c r="L20" s="8"/>
      <c r="M20" s="8"/>
    </row>
    <row r="21">
      <c r="A21" s="14" t="s">
        <v>37</v>
      </c>
      <c r="F21" s="8"/>
      <c r="G21" s="8"/>
      <c r="H21" s="8"/>
      <c r="I21" s="8"/>
      <c r="J21" s="8"/>
      <c r="K21" s="8"/>
      <c r="L21" s="8"/>
      <c r="M21" s="8"/>
    </row>
    <row r="22" ht="19.5" customHeight="1">
      <c r="A22" s="16" t="s">
        <v>38</v>
      </c>
      <c r="B22" s="17"/>
      <c r="C22" s="17"/>
      <c r="D22" s="18"/>
      <c r="F22" s="8"/>
      <c r="G22" s="8"/>
      <c r="H22" s="8"/>
      <c r="I22" s="8"/>
      <c r="J22" s="8"/>
      <c r="K22" s="8"/>
      <c r="L22" s="8"/>
      <c r="M22" s="8"/>
    </row>
    <row r="23" ht="25.5" customHeight="1">
      <c r="A23" s="19" t="s">
        <v>39</v>
      </c>
      <c r="B23" s="20"/>
      <c r="C23" s="20"/>
      <c r="D23" s="21"/>
      <c r="F23" s="8"/>
      <c r="G23" s="8"/>
      <c r="H23" s="8"/>
      <c r="I23" s="8"/>
      <c r="J23" s="8"/>
      <c r="K23" s="8"/>
      <c r="L23" s="8"/>
      <c r="M23" s="8"/>
    </row>
    <row r="24" ht="19.5" customHeight="1">
      <c r="A24" s="22" t="s">
        <v>40</v>
      </c>
      <c r="B24" s="22" t="s">
        <v>41</v>
      </c>
      <c r="C24" s="22" t="s">
        <v>42</v>
      </c>
      <c r="D24" s="22" t="s">
        <v>43</v>
      </c>
      <c r="F24" s="8"/>
      <c r="G24" s="8"/>
      <c r="H24" s="8"/>
      <c r="I24" s="8"/>
      <c r="J24" s="8"/>
      <c r="K24" s="8"/>
      <c r="L24" s="8"/>
      <c r="M24" s="8"/>
    </row>
    <row r="25" ht="18.0" customHeight="1">
      <c r="A25" s="23" t="s">
        <v>44</v>
      </c>
      <c r="B25" s="24" t="s">
        <v>45</v>
      </c>
      <c r="C25" s="24" t="s">
        <v>46</v>
      </c>
      <c r="D25" s="24" t="s">
        <v>47</v>
      </c>
      <c r="F25" s="8"/>
      <c r="G25" s="8"/>
      <c r="H25" s="8"/>
      <c r="I25" s="8"/>
      <c r="J25" s="8"/>
      <c r="K25" s="8"/>
      <c r="L25" s="8"/>
      <c r="M25" s="8"/>
    </row>
    <row r="26" ht="18.0" customHeight="1">
      <c r="A26" s="25" t="s">
        <v>48</v>
      </c>
      <c r="B26" s="26" t="s">
        <v>49</v>
      </c>
      <c r="C26" s="26" t="s">
        <v>50</v>
      </c>
      <c r="D26" s="26" t="s">
        <v>51</v>
      </c>
      <c r="F26" s="8"/>
      <c r="G26" s="8"/>
      <c r="H26" s="8"/>
      <c r="I26" s="8"/>
      <c r="J26" s="8"/>
      <c r="K26" s="8"/>
      <c r="L26" s="8"/>
      <c r="M26" s="8"/>
    </row>
    <row r="27" ht="18.0" customHeight="1">
      <c r="A27" s="23" t="s">
        <v>52</v>
      </c>
      <c r="B27" s="24" t="s">
        <v>53</v>
      </c>
      <c r="C27" s="24" t="s">
        <v>50</v>
      </c>
      <c r="D27" s="24" t="s">
        <v>54</v>
      </c>
      <c r="F27" s="8"/>
      <c r="G27" s="8"/>
      <c r="H27" s="8"/>
      <c r="I27" s="8"/>
      <c r="J27" s="8"/>
      <c r="K27" s="8"/>
      <c r="L27" s="8"/>
      <c r="M27" s="8"/>
    </row>
    <row r="28" ht="18.0" customHeight="1">
      <c r="A28" s="25" t="s">
        <v>55</v>
      </c>
      <c r="B28" s="26" t="s">
        <v>56</v>
      </c>
      <c r="C28" s="27" t="s">
        <v>57</v>
      </c>
      <c r="D28" s="27" t="s">
        <v>58</v>
      </c>
      <c r="F28" s="8"/>
      <c r="G28" s="8"/>
      <c r="H28" s="8"/>
      <c r="I28" s="8"/>
      <c r="J28" s="8"/>
      <c r="K28" s="8"/>
      <c r="L28" s="8"/>
      <c r="M28" s="8"/>
    </row>
    <row r="29" ht="15.75" customHeight="1">
      <c r="F29" s="8"/>
      <c r="G29" s="8"/>
      <c r="H29" s="8"/>
      <c r="I29" s="8"/>
      <c r="J29" s="8"/>
      <c r="K29" s="8"/>
      <c r="L29" s="8"/>
      <c r="M29" s="8"/>
    </row>
    <row r="30" ht="18.0" customHeight="1">
      <c r="A30" s="28" t="s">
        <v>59</v>
      </c>
      <c r="B30" s="17"/>
      <c r="C30" s="17"/>
      <c r="D30" s="18"/>
    </row>
    <row r="31" ht="21.75" customHeight="1">
      <c r="A31" s="29" t="s">
        <v>60</v>
      </c>
      <c r="B31" s="20"/>
      <c r="C31" s="20"/>
      <c r="D31" s="21"/>
    </row>
    <row r="32" ht="15.75" customHeight="1">
      <c r="A32" s="30" t="s">
        <v>61</v>
      </c>
      <c r="B32" s="31" t="s">
        <v>44</v>
      </c>
      <c r="C32" s="31" t="s">
        <v>62</v>
      </c>
      <c r="D32" s="31"/>
    </row>
    <row r="33" ht="15.75" customHeight="1">
      <c r="A33" s="32" t="s">
        <v>63</v>
      </c>
      <c r="B33" s="31" t="s">
        <v>48</v>
      </c>
      <c r="C33" s="31" t="s">
        <v>64</v>
      </c>
      <c r="D33" s="31"/>
    </row>
    <row r="34" ht="15.75" customHeight="1">
      <c r="A34" s="33" t="s">
        <v>65</v>
      </c>
      <c r="B34" s="31" t="s">
        <v>52</v>
      </c>
      <c r="C34" s="31" t="s">
        <v>66</v>
      </c>
      <c r="D34" s="31"/>
    </row>
    <row r="35" ht="15.75" customHeight="1">
      <c r="A35" s="34" t="s">
        <v>67</v>
      </c>
      <c r="B35" s="31" t="s">
        <v>55</v>
      </c>
      <c r="C35" s="31" t="s">
        <v>68</v>
      </c>
      <c r="D35" s="31"/>
    </row>
    <row r="36" ht="15.75" customHeight="1"/>
    <row r="37" ht="18.0" customHeight="1">
      <c r="A37" s="35" t="s">
        <v>69</v>
      </c>
      <c r="B37" s="17"/>
      <c r="C37" s="17"/>
      <c r="D37" s="18"/>
    </row>
    <row r="38" ht="18.0" customHeight="1">
      <c r="A38" s="36" t="s">
        <v>70</v>
      </c>
      <c r="B38" s="37" t="s">
        <v>71</v>
      </c>
      <c r="C38" s="17"/>
      <c r="D38" s="18"/>
    </row>
    <row r="39" ht="18.0" customHeight="1">
      <c r="A39" s="38" t="s">
        <v>72</v>
      </c>
      <c r="B39" s="39" t="s">
        <v>73</v>
      </c>
      <c r="C39" s="17"/>
      <c r="D39" s="18"/>
    </row>
    <row r="40" ht="18.0" customHeight="1">
      <c r="A40" s="36" t="s">
        <v>74</v>
      </c>
      <c r="B40" s="37" t="s">
        <v>75</v>
      </c>
      <c r="C40" s="17"/>
      <c r="D40" s="18"/>
    </row>
    <row r="41" ht="18.0" customHeight="1">
      <c r="A41" s="38"/>
      <c r="B41" s="39"/>
      <c r="C41" s="17"/>
      <c r="D41" s="18"/>
    </row>
    <row r="42" ht="18.0" customHeight="1">
      <c r="A42" s="36"/>
      <c r="B42" s="37"/>
      <c r="C42" s="17"/>
      <c r="D42" s="18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1">
    <mergeCell ref="A1:D1"/>
    <mergeCell ref="A2:D2"/>
    <mergeCell ref="A12:D12"/>
    <mergeCell ref="A13:D13"/>
    <mergeCell ref="A14:D14"/>
    <mergeCell ref="A15:D15"/>
    <mergeCell ref="A16:D16"/>
    <mergeCell ref="A31:D31"/>
    <mergeCell ref="A37:D37"/>
    <mergeCell ref="B38:D38"/>
    <mergeCell ref="B39:D39"/>
    <mergeCell ref="B40:D40"/>
    <mergeCell ref="B41:D41"/>
    <mergeCell ref="B42:D42"/>
    <mergeCell ref="A17:D17"/>
    <mergeCell ref="A18:D18"/>
    <mergeCell ref="A19:D19"/>
    <mergeCell ref="A21:D21"/>
    <mergeCell ref="A22:D22"/>
    <mergeCell ref="A23:D23"/>
    <mergeCell ref="A30:D30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7A65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3.0"/>
    <col customWidth="1" min="2" max="2" width="14.14"/>
    <col customWidth="1" min="3" max="4" width="18.0"/>
    <col customWidth="1" min="5" max="6" width="10.0"/>
    <col customWidth="1" min="7" max="7" width="44.0"/>
    <col customWidth="1" min="8" max="26" width="8.71"/>
  </cols>
  <sheetData>
    <row r="1" ht="27.75" customHeight="1">
      <c r="A1" s="40" t="s">
        <v>76</v>
      </c>
    </row>
    <row r="2" ht="15.75" customHeight="1">
      <c r="A2" s="41" t="s">
        <v>77</v>
      </c>
    </row>
    <row r="3" ht="24.0" customHeight="1">
      <c r="A3" s="42" t="s">
        <v>78</v>
      </c>
      <c r="B3" s="42" t="s">
        <v>79</v>
      </c>
      <c r="C3" s="42" t="s">
        <v>80</v>
      </c>
      <c r="D3" s="42" t="s">
        <v>81</v>
      </c>
      <c r="E3" s="42" t="s">
        <v>82</v>
      </c>
      <c r="F3" s="42" t="s">
        <v>83</v>
      </c>
      <c r="G3" s="42" t="s">
        <v>84</v>
      </c>
    </row>
    <row r="4" ht="27.75" customHeight="1">
      <c r="A4" s="43">
        <v>1.0</v>
      </c>
      <c r="B4" s="44" t="s">
        <v>85</v>
      </c>
      <c r="C4" s="45" t="s">
        <v>86</v>
      </c>
      <c r="D4" s="46" t="s">
        <v>87</v>
      </c>
      <c r="E4" s="47">
        <v>0.0</v>
      </c>
      <c r="F4" s="47">
        <v>6.0</v>
      </c>
      <c r="G4" s="46" t="s">
        <v>88</v>
      </c>
    </row>
    <row r="5" ht="27.75" customHeight="1">
      <c r="A5" s="48">
        <v>2.0</v>
      </c>
      <c r="B5" s="49" t="s">
        <v>89</v>
      </c>
      <c r="C5" s="50" t="s">
        <v>90</v>
      </c>
      <c r="D5" s="51" t="s">
        <v>91</v>
      </c>
      <c r="E5" s="52">
        <v>4.0</v>
      </c>
      <c r="F5" s="52">
        <v>9.0</v>
      </c>
      <c r="G5" s="51" t="s">
        <v>92</v>
      </c>
    </row>
    <row r="6" ht="27.75" customHeight="1">
      <c r="A6" s="53">
        <v>3.0</v>
      </c>
      <c r="B6" s="54" t="s">
        <v>93</v>
      </c>
      <c r="C6" s="55" t="s">
        <v>94</v>
      </c>
      <c r="D6" s="56" t="s">
        <v>94</v>
      </c>
      <c r="E6" s="57">
        <v>7.0</v>
      </c>
      <c r="F6" s="57">
        <v>12.0</v>
      </c>
      <c r="G6" s="56" t="s">
        <v>95</v>
      </c>
    </row>
    <row r="7" ht="27.75" customHeight="1">
      <c r="A7" s="58">
        <v>4.0</v>
      </c>
      <c r="B7" s="59" t="s">
        <v>96</v>
      </c>
      <c r="C7" s="60" t="s">
        <v>97</v>
      </c>
      <c r="D7" s="61" t="s">
        <v>98</v>
      </c>
      <c r="E7" s="62">
        <v>10.0</v>
      </c>
      <c r="F7" s="62">
        <v>15.0</v>
      </c>
      <c r="G7" s="61" t="s">
        <v>99</v>
      </c>
    </row>
    <row r="8" ht="27.75" customHeight="1">
      <c r="A8" s="63">
        <v>5.0</v>
      </c>
      <c r="B8" s="64" t="s">
        <v>100</v>
      </c>
      <c r="C8" s="65" t="s">
        <v>101</v>
      </c>
      <c r="D8" s="66" t="s">
        <v>102</v>
      </c>
      <c r="E8" s="67">
        <v>13.0</v>
      </c>
      <c r="F8" s="67">
        <v>18.0</v>
      </c>
      <c r="G8" s="66" t="s">
        <v>103</v>
      </c>
    </row>
    <row r="10" ht="15.75" customHeight="1">
      <c r="A10" s="68" t="s">
        <v>104</v>
      </c>
    </row>
    <row r="12" ht="18.0" customHeight="1">
      <c r="A12" s="35" t="s">
        <v>105</v>
      </c>
      <c r="B12" s="17"/>
      <c r="C12" s="17"/>
      <c r="D12" s="17"/>
      <c r="E12" s="17"/>
      <c r="F12" s="17"/>
      <c r="G12" s="18"/>
    </row>
    <row r="13" ht="19.5" customHeight="1">
      <c r="A13" s="22" t="s">
        <v>106</v>
      </c>
      <c r="B13" s="22" t="s">
        <v>107</v>
      </c>
      <c r="C13" s="22" t="s">
        <v>108</v>
      </c>
      <c r="D13" s="22" t="s">
        <v>109</v>
      </c>
      <c r="E13" s="22" t="s">
        <v>110</v>
      </c>
      <c r="F13" s="22"/>
      <c r="G13" s="22"/>
    </row>
    <row r="14" ht="18.0" customHeight="1">
      <c r="A14" s="69" t="s">
        <v>111</v>
      </c>
      <c r="B14" s="70" t="s">
        <v>112</v>
      </c>
      <c r="C14" s="70" t="s">
        <v>113</v>
      </c>
      <c r="D14" s="70" t="s">
        <v>114</v>
      </c>
      <c r="E14" s="24" t="s">
        <v>115</v>
      </c>
      <c r="F14" s="24"/>
      <c r="G14" s="24"/>
    </row>
    <row r="15" ht="18.0" customHeight="1">
      <c r="A15" s="71" t="s">
        <v>116</v>
      </c>
      <c r="B15" s="72" t="s">
        <v>117</v>
      </c>
      <c r="C15" s="72" t="s">
        <v>118</v>
      </c>
      <c r="D15" s="72" t="s">
        <v>119</v>
      </c>
      <c r="E15" s="73" t="s">
        <v>120</v>
      </c>
      <c r="F15" s="73"/>
      <c r="G15" s="73"/>
    </row>
    <row r="16" ht="18.0" customHeight="1">
      <c r="A16" s="74" t="s">
        <v>121</v>
      </c>
      <c r="B16" s="70" t="s">
        <v>122</v>
      </c>
      <c r="C16" s="70" t="s">
        <v>123</v>
      </c>
      <c r="D16" s="70" t="s">
        <v>124</v>
      </c>
      <c r="E16" s="24" t="s">
        <v>125</v>
      </c>
      <c r="F16" s="24"/>
      <c r="G16" s="2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G1"/>
    <mergeCell ref="A2:G2"/>
    <mergeCell ref="A10:G10"/>
    <mergeCell ref="A12:G1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9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7.0"/>
    <col customWidth="1" min="2" max="2" width="15.0"/>
    <col customWidth="1" min="3" max="3" width="16.0"/>
    <col customWidth="1" min="4" max="5" width="24.0"/>
    <col customWidth="1" min="6" max="6" width="31.29"/>
    <col customWidth="1" min="7" max="7" width="14.14"/>
    <col customWidth="1" min="8" max="8" width="16.86"/>
    <col customWidth="1" min="9" max="9" width="20.57"/>
    <col customWidth="1" min="10" max="10" width="38.71"/>
    <col customWidth="1" min="11" max="11" width="30.86"/>
    <col customWidth="1" min="12" max="12" width="18.14"/>
    <col customWidth="1" min="13" max="13" width="18.86"/>
    <col customWidth="1" min="14" max="14" width="34.57"/>
    <col customWidth="1" min="15" max="31" width="8.71"/>
  </cols>
  <sheetData>
    <row r="1" ht="27.75" customHeight="1">
      <c r="A1" s="75" t="s">
        <v>126</v>
      </c>
      <c r="B1" s="75" t="s">
        <v>44</v>
      </c>
      <c r="C1" s="75" t="s">
        <v>48</v>
      </c>
      <c r="D1" s="75" t="s">
        <v>127</v>
      </c>
      <c r="E1" s="75" t="s">
        <v>128</v>
      </c>
      <c r="F1" s="75" t="s">
        <v>129</v>
      </c>
      <c r="G1" s="75" t="s">
        <v>130</v>
      </c>
      <c r="H1" s="75" t="s">
        <v>131</v>
      </c>
      <c r="I1" s="75" t="s">
        <v>132</v>
      </c>
      <c r="J1" s="76" t="s">
        <v>133</v>
      </c>
      <c r="K1" s="76" t="s">
        <v>134</v>
      </c>
      <c r="L1" s="76" t="s">
        <v>135</v>
      </c>
      <c r="M1" s="76" t="s">
        <v>136</v>
      </c>
      <c r="N1" s="75" t="s">
        <v>84</v>
      </c>
    </row>
    <row r="2" ht="21.75" customHeight="1">
      <c r="A2" s="77" t="s">
        <v>137</v>
      </c>
    </row>
    <row r="3" ht="13.5" customHeight="1">
      <c r="A3" s="78" t="s">
        <v>138</v>
      </c>
    </row>
    <row r="4">
      <c r="A4" s="79" t="s">
        <v>139</v>
      </c>
      <c r="B4" s="80" t="s">
        <v>140</v>
      </c>
      <c r="C4" s="80" t="s">
        <v>141</v>
      </c>
      <c r="D4" s="81" t="s">
        <v>142</v>
      </c>
      <c r="E4" s="80" t="s">
        <v>143</v>
      </c>
      <c r="F4" s="80"/>
      <c r="G4" s="80" t="s">
        <v>144</v>
      </c>
      <c r="H4" s="82" t="s">
        <v>145</v>
      </c>
      <c r="I4" s="80" t="s">
        <v>146</v>
      </c>
      <c r="J4" s="81" t="s">
        <v>147</v>
      </c>
      <c r="K4" s="81" t="s">
        <v>148</v>
      </c>
      <c r="L4" s="83" t="b">
        <v>0</v>
      </c>
      <c r="M4" s="83" t="b">
        <v>1</v>
      </c>
      <c r="N4" s="80"/>
    </row>
    <row r="5">
      <c r="A5" s="84" t="s">
        <v>149</v>
      </c>
      <c r="B5" s="85" t="s">
        <v>140</v>
      </c>
      <c r="C5" s="85" t="s">
        <v>141</v>
      </c>
      <c r="D5" s="86" t="s">
        <v>150</v>
      </c>
      <c r="E5" s="85" t="s">
        <v>151</v>
      </c>
      <c r="F5" s="85"/>
      <c r="G5" s="85" t="s">
        <v>144</v>
      </c>
      <c r="H5" s="87" t="s">
        <v>145</v>
      </c>
      <c r="I5" s="85" t="s">
        <v>146</v>
      </c>
      <c r="J5" s="81" t="s">
        <v>152</v>
      </c>
      <c r="K5" s="80"/>
      <c r="L5" s="83" t="b">
        <v>0</v>
      </c>
      <c r="M5" s="83" t="b">
        <v>1</v>
      </c>
      <c r="N5" s="85"/>
    </row>
    <row r="6">
      <c r="A6" s="79" t="s">
        <v>153</v>
      </c>
      <c r="B6" s="80" t="s">
        <v>140</v>
      </c>
      <c r="C6" s="80" t="s">
        <v>141</v>
      </c>
      <c r="D6" s="81" t="s">
        <v>154</v>
      </c>
      <c r="E6" s="80" t="s">
        <v>155</v>
      </c>
      <c r="F6" s="80"/>
      <c r="G6" s="80" t="s">
        <v>144</v>
      </c>
      <c r="H6" s="88" t="s">
        <v>145</v>
      </c>
      <c r="I6" s="80" t="s">
        <v>146</v>
      </c>
      <c r="J6" s="81" t="s">
        <v>156</v>
      </c>
      <c r="K6" s="80"/>
      <c r="L6" s="83" t="b">
        <v>0</v>
      </c>
      <c r="M6" s="83" t="b">
        <v>1</v>
      </c>
      <c r="N6" s="80"/>
    </row>
    <row r="7">
      <c r="A7" s="84" t="s">
        <v>157</v>
      </c>
      <c r="B7" s="85" t="s">
        <v>140</v>
      </c>
      <c r="C7" s="85" t="s">
        <v>141</v>
      </c>
      <c r="D7" s="86" t="s">
        <v>158</v>
      </c>
      <c r="E7" s="85" t="s">
        <v>159</v>
      </c>
      <c r="F7" s="85"/>
      <c r="G7" s="85" t="s">
        <v>144</v>
      </c>
      <c r="H7" s="87" t="s">
        <v>145</v>
      </c>
      <c r="I7" s="85" t="s">
        <v>146</v>
      </c>
      <c r="J7" s="81" t="s">
        <v>160</v>
      </c>
      <c r="K7" s="80"/>
      <c r="L7" s="83" t="b">
        <v>0</v>
      </c>
      <c r="M7" s="83" t="b">
        <v>1</v>
      </c>
      <c r="N7" s="85"/>
    </row>
    <row r="8">
      <c r="A8" s="79" t="s">
        <v>161</v>
      </c>
      <c r="B8" s="80" t="s">
        <v>140</v>
      </c>
      <c r="C8" s="80" t="s">
        <v>141</v>
      </c>
      <c r="D8" s="81" t="s">
        <v>162</v>
      </c>
      <c r="E8" s="80" t="s">
        <v>163</v>
      </c>
      <c r="F8" s="80"/>
      <c r="G8" s="80" t="s">
        <v>144</v>
      </c>
      <c r="H8" s="88" t="s">
        <v>145</v>
      </c>
      <c r="I8" s="80" t="s">
        <v>146</v>
      </c>
      <c r="J8" s="81" t="s">
        <v>164</v>
      </c>
      <c r="K8" s="80"/>
      <c r="L8" s="83" t="b">
        <v>0</v>
      </c>
      <c r="M8" s="83" t="b">
        <v>1</v>
      </c>
      <c r="N8" s="80"/>
    </row>
    <row r="9">
      <c r="A9" s="84" t="s">
        <v>165</v>
      </c>
      <c r="B9" s="85" t="s">
        <v>140</v>
      </c>
      <c r="C9" s="85" t="s">
        <v>141</v>
      </c>
      <c r="D9" s="86" t="s">
        <v>166</v>
      </c>
      <c r="E9" s="85" t="s">
        <v>167</v>
      </c>
      <c r="F9" s="85"/>
      <c r="G9" s="85" t="s">
        <v>144</v>
      </c>
      <c r="H9" s="87" t="s">
        <v>145</v>
      </c>
      <c r="I9" s="85" t="s">
        <v>146</v>
      </c>
      <c r="J9" s="81" t="s">
        <v>168</v>
      </c>
      <c r="K9" s="80"/>
      <c r="L9" s="83" t="b">
        <v>0</v>
      </c>
      <c r="M9" s="83" t="b">
        <v>1</v>
      </c>
      <c r="N9" s="85"/>
    </row>
    <row r="10">
      <c r="A10" s="79" t="s">
        <v>169</v>
      </c>
      <c r="B10" s="80" t="s">
        <v>140</v>
      </c>
      <c r="C10" s="80" t="s">
        <v>141</v>
      </c>
      <c r="D10" s="80" t="s">
        <v>170</v>
      </c>
      <c r="E10" s="80" t="s">
        <v>171</v>
      </c>
      <c r="F10" s="89"/>
      <c r="G10" s="80" t="s">
        <v>172</v>
      </c>
      <c r="H10" s="88" t="s">
        <v>145</v>
      </c>
      <c r="I10" s="80" t="s">
        <v>173</v>
      </c>
      <c r="J10" s="81" t="s">
        <v>174</v>
      </c>
      <c r="K10" s="90"/>
      <c r="L10" s="83" t="b">
        <v>0</v>
      </c>
      <c r="M10" s="83" t="b">
        <v>1</v>
      </c>
      <c r="N10" s="89"/>
    </row>
    <row r="11">
      <c r="A11" s="84" t="s">
        <v>175</v>
      </c>
      <c r="B11" s="85" t="s">
        <v>140</v>
      </c>
      <c r="C11" s="85" t="s">
        <v>141</v>
      </c>
      <c r="D11" s="85" t="s">
        <v>176</v>
      </c>
      <c r="E11" s="85" t="s">
        <v>177</v>
      </c>
      <c r="F11" s="91"/>
      <c r="G11" s="85" t="s">
        <v>172</v>
      </c>
      <c r="H11" s="87" t="s">
        <v>145</v>
      </c>
      <c r="I11" s="85" t="s">
        <v>173</v>
      </c>
      <c r="J11" s="81" t="s">
        <v>178</v>
      </c>
      <c r="K11" s="90"/>
      <c r="L11" s="83" t="b">
        <v>0</v>
      </c>
      <c r="M11" s="83" t="b">
        <v>1</v>
      </c>
      <c r="N11" s="91"/>
    </row>
    <row r="12">
      <c r="A12" s="79" t="s">
        <v>179</v>
      </c>
      <c r="B12" s="80" t="s">
        <v>140</v>
      </c>
      <c r="C12" s="80" t="s">
        <v>141</v>
      </c>
      <c r="D12" s="80" t="s">
        <v>180</v>
      </c>
      <c r="E12" s="80" t="s">
        <v>181</v>
      </c>
      <c r="F12" s="89"/>
      <c r="G12" s="80" t="s">
        <v>172</v>
      </c>
      <c r="H12" s="88" t="s">
        <v>145</v>
      </c>
      <c r="I12" s="80" t="s">
        <v>173</v>
      </c>
      <c r="J12" s="81" t="s">
        <v>182</v>
      </c>
      <c r="K12" s="90"/>
      <c r="L12" s="83" t="b">
        <v>0</v>
      </c>
      <c r="M12" s="83" t="b">
        <v>1</v>
      </c>
      <c r="N12" s="89"/>
    </row>
    <row r="13">
      <c r="A13" s="84" t="s">
        <v>183</v>
      </c>
      <c r="B13" s="85" t="s">
        <v>140</v>
      </c>
      <c r="C13" s="85" t="s">
        <v>141</v>
      </c>
      <c r="D13" s="85" t="s">
        <v>184</v>
      </c>
      <c r="E13" s="85" t="s">
        <v>185</v>
      </c>
      <c r="F13" s="91"/>
      <c r="G13" s="85" t="s">
        <v>172</v>
      </c>
      <c r="H13" s="87" t="s">
        <v>145</v>
      </c>
      <c r="I13" s="85" t="s">
        <v>173</v>
      </c>
      <c r="J13" s="81" t="s">
        <v>186</v>
      </c>
      <c r="K13" s="90"/>
      <c r="L13" s="83" t="b">
        <v>0</v>
      </c>
      <c r="M13" s="83" t="b">
        <v>1</v>
      </c>
      <c r="N13" s="91"/>
    </row>
    <row r="14">
      <c r="A14" s="79" t="s">
        <v>187</v>
      </c>
      <c r="B14" s="80" t="s">
        <v>140</v>
      </c>
      <c r="C14" s="80" t="s">
        <v>141</v>
      </c>
      <c r="D14" s="80" t="s">
        <v>188</v>
      </c>
      <c r="E14" s="80" t="s">
        <v>189</v>
      </c>
      <c r="F14" s="89"/>
      <c r="G14" s="80" t="s">
        <v>172</v>
      </c>
      <c r="H14" s="88" t="s">
        <v>145</v>
      </c>
      <c r="I14" s="80" t="s">
        <v>173</v>
      </c>
      <c r="J14" s="81" t="s">
        <v>190</v>
      </c>
      <c r="K14" s="90"/>
      <c r="L14" s="83" t="b">
        <v>0</v>
      </c>
      <c r="M14" s="83" t="b">
        <v>1</v>
      </c>
      <c r="N14" s="89"/>
    </row>
    <row r="15">
      <c r="A15" s="84" t="s">
        <v>191</v>
      </c>
      <c r="B15" s="85" t="s">
        <v>140</v>
      </c>
      <c r="C15" s="85" t="s">
        <v>141</v>
      </c>
      <c r="D15" s="85" t="s">
        <v>192</v>
      </c>
      <c r="E15" s="85" t="s">
        <v>193</v>
      </c>
      <c r="F15" s="91"/>
      <c r="G15" s="85" t="s">
        <v>172</v>
      </c>
      <c r="H15" s="87" t="s">
        <v>145</v>
      </c>
      <c r="I15" s="85" t="s">
        <v>173</v>
      </c>
      <c r="J15" s="81" t="s">
        <v>194</v>
      </c>
      <c r="K15" s="90"/>
      <c r="L15" s="83" t="b">
        <v>0</v>
      </c>
      <c r="M15" s="83" t="b">
        <v>1</v>
      </c>
      <c r="N15" s="91"/>
    </row>
    <row r="16">
      <c r="A16" s="79" t="s">
        <v>195</v>
      </c>
      <c r="B16" s="80" t="s">
        <v>140</v>
      </c>
      <c r="C16" s="80" t="s">
        <v>141</v>
      </c>
      <c r="D16" s="80" t="s">
        <v>196</v>
      </c>
      <c r="E16" s="80" t="s">
        <v>197</v>
      </c>
      <c r="F16" s="90"/>
      <c r="G16" s="80" t="s">
        <v>198</v>
      </c>
      <c r="H16" s="88" t="s">
        <v>145</v>
      </c>
      <c r="I16" s="80" t="s">
        <v>173</v>
      </c>
      <c r="J16" s="81" t="s">
        <v>199</v>
      </c>
      <c r="K16" s="90"/>
      <c r="L16" s="83" t="b">
        <v>0</v>
      </c>
      <c r="M16" s="83" t="b">
        <v>1</v>
      </c>
      <c r="N16" s="90"/>
    </row>
    <row r="17">
      <c r="A17" s="84" t="s">
        <v>200</v>
      </c>
      <c r="B17" s="85" t="s">
        <v>140</v>
      </c>
      <c r="C17" s="85" t="s">
        <v>141</v>
      </c>
      <c r="D17" s="85" t="s">
        <v>201</v>
      </c>
      <c r="E17" s="85" t="s">
        <v>202</v>
      </c>
      <c r="F17" s="91"/>
      <c r="G17" s="85" t="s">
        <v>198</v>
      </c>
      <c r="H17" s="87" t="s">
        <v>145</v>
      </c>
      <c r="I17" s="85" t="s">
        <v>173</v>
      </c>
      <c r="J17" s="81" t="s">
        <v>203</v>
      </c>
      <c r="K17" s="90"/>
      <c r="L17" s="83" t="b">
        <v>0</v>
      </c>
      <c r="M17" s="83" t="b">
        <v>1</v>
      </c>
      <c r="N17" s="91"/>
    </row>
    <row r="18">
      <c r="A18" s="79" t="s">
        <v>204</v>
      </c>
      <c r="B18" s="80" t="s">
        <v>140</v>
      </c>
      <c r="C18" s="80" t="s">
        <v>141</v>
      </c>
      <c r="D18" s="80" t="s">
        <v>205</v>
      </c>
      <c r="E18" s="80" t="s">
        <v>206</v>
      </c>
      <c r="F18" s="89"/>
      <c r="G18" s="80" t="s">
        <v>198</v>
      </c>
      <c r="H18" s="88" t="s">
        <v>145</v>
      </c>
      <c r="I18" s="80" t="s">
        <v>173</v>
      </c>
      <c r="J18" s="81" t="s">
        <v>207</v>
      </c>
      <c r="K18" s="90"/>
      <c r="L18" s="83" t="b">
        <v>0</v>
      </c>
      <c r="M18" s="83" t="b">
        <v>1</v>
      </c>
      <c r="N18" s="89"/>
    </row>
    <row r="19">
      <c r="A19" s="84" t="s">
        <v>208</v>
      </c>
      <c r="B19" s="85" t="s">
        <v>140</v>
      </c>
      <c r="C19" s="85" t="s">
        <v>141</v>
      </c>
      <c r="D19" s="85" t="s">
        <v>209</v>
      </c>
      <c r="E19" s="85" t="s">
        <v>210</v>
      </c>
      <c r="F19" s="91"/>
      <c r="G19" s="85" t="s">
        <v>198</v>
      </c>
      <c r="H19" s="87" t="s">
        <v>145</v>
      </c>
      <c r="I19" s="85" t="s">
        <v>173</v>
      </c>
      <c r="J19" s="92" t="s">
        <v>211</v>
      </c>
      <c r="K19" s="90"/>
      <c r="L19" s="83" t="b">
        <v>0</v>
      </c>
      <c r="M19" s="83" t="b">
        <v>1</v>
      </c>
      <c r="N19" s="91"/>
    </row>
    <row r="20">
      <c r="A20" s="79" t="s">
        <v>212</v>
      </c>
      <c r="B20" s="80" t="s">
        <v>140</v>
      </c>
      <c r="C20" s="80" t="s">
        <v>141</v>
      </c>
      <c r="D20" s="80" t="s">
        <v>213</v>
      </c>
      <c r="E20" s="80" t="s">
        <v>214</v>
      </c>
      <c r="F20" s="89"/>
      <c r="G20" s="80" t="s">
        <v>198</v>
      </c>
      <c r="H20" s="88" t="s">
        <v>145</v>
      </c>
      <c r="I20" s="80" t="s">
        <v>173</v>
      </c>
      <c r="J20" s="81" t="s">
        <v>215</v>
      </c>
      <c r="K20" s="90"/>
      <c r="L20" s="83" t="b">
        <v>0</v>
      </c>
      <c r="M20" s="83" t="b">
        <v>1</v>
      </c>
      <c r="N20" s="89"/>
    </row>
    <row r="21">
      <c r="A21" s="84" t="s">
        <v>216</v>
      </c>
      <c r="B21" s="85" t="s">
        <v>140</v>
      </c>
      <c r="C21" s="85" t="s">
        <v>141</v>
      </c>
      <c r="D21" s="85" t="s">
        <v>217</v>
      </c>
      <c r="E21" s="85" t="s">
        <v>218</v>
      </c>
      <c r="F21" s="91"/>
      <c r="G21" s="85" t="s">
        <v>198</v>
      </c>
      <c r="H21" s="87" t="s">
        <v>145</v>
      </c>
      <c r="I21" s="85" t="s">
        <v>173</v>
      </c>
      <c r="J21" s="81" t="s">
        <v>219</v>
      </c>
      <c r="K21" s="90"/>
      <c r="L21" s="83" t="b">
        <v>0</v>
      </c>
      <c r="M21" s="83" t="b">
        <v>1</v>
      </c>
      <c r="N21" s="91"/>
    </row>
    <row r="22">
      <c r="A22" s="79" t="s">
        <v>220</v>
      </c>
      <c r="B22" s="80" t="s">
        <v>140</v>
      </c>
      <c r="C22" s="80" t="s">
        <v>141</v>
      </c>
      <c r="D22" s="81" t="s">
        <v>142</v>
      </c>
      <c r="E22" s="80" t="s">
        <v>143</v>
      </c>
      <c r="F22" s="89"/>
      <c r="G22" s="80" t="s">
        <v>144</v>
      </c>
      <c r="H22" s="88" t="s">
        <v>145</v>
      </c>
      <c r="I22" s="80" t="s">
        <v>146</v>
      </c>
      <c r="J22" s="81" t="s">
        <v>221</v>
      </c>
      <c r="K22" s="90"/>
      <c r="L22" s="83" t="b">
        <v>0</v>
      </c>
      <c r="M22" s="83" t="b">
        <v>1</v>
      </c>
      <c r="N22" s="89"/>
    </row>
    <row r="23">
      <c r="A23" s="84" t="s">
        <v>222</v>
      </c>
      <c r="B23" s="85" t="s">
        <v>140</v>
      </c>
      <c r="C23" s="85" t="s">
        <v>141</v>
      </c>
      <c r="D23" s="86" t="s">
        <v>150</v>
      </c>
      <c r="E23" s="85" t="s">
        <v>151</v>
      </c>
      <c r="F23" s="91"/>
      <c r="G23" s="85" t="s">
        <v>144</v>
      </c>
      <c r="H23" s="87" t="s">
        <v>145</v>
      </c>
      <c r="I23" s="85" t="s">
        <v>146</v>
      </c>
      <c r="J23" s="81" t="s">
        <v>223</v>
      </c>
      <c r="K23" s="90"/>
      <c r="L23" s="83" t="b">
        <v>0</v>
      </c>
      <c r="M23" s="83" t="b">
        <v>1</v>
      </c>
      <c r="N23" s="91"/>
    </row>
    <row r="24">
      <c r="A24" s="79" t="s">
        <v>224</v>
      </c>
      <c r="B24" s="80" t="s">
        <v>140</v>
      </c>
      <c r="C24" s="80" t="s">
        <v>141</v>
      </c>
      <c r="D24" s="81" t="s">
        <v>154</v>
      </c>
      <c r="E24" s="80" t="s">
        <v>155</v>
      </c>
      <c r="F24" s="89"/>
      <c r="G24" s="80" t="s">
        <v>144</v>
      </c>
      <c r="H24" s="88" t="s">
        <v>145</v>
      </c>
      <c r="I24" s="80" t="s">
        <v>146</v>
      </c>
      <c r="J24" s="81" t="s">
        <v>225</v>
      </c>
      <c r="K24" s="90"/>
      <c r="L24" s="83" t="b">
        <v>0</v>
      </c>
      <c r="M24" s="83" t="b">
        <v>1</v>
      </c>
      <c r="N24" s="89"/>
    </row>
    <row r="25">
      <c r="A25" s="84" t="s">
        <v>226</v>
      </c>
      <c r="B25" s="85" t="s">
        <v>140</v>
      </c>
      <c r="C25" s="85" t="s">
        <v>141</v>
      </c>
      <c r="D25" s="86" t="s">
        <v>158</v>
      </c>
      <c r="E25" s="85" t="s">
        <v>159</v>
      </c>
      <c r="F25" s="91"/>
      <c r="G25" s="85" t="s">
        <v>144</v>
      </c>
      <c r="H25" s="87" t="s">
        <v>145</v>
      </c>
      <c r="I25" s="85" t="s">
        <v>146</v>
      </c>
      <c r="J25" s="81" t="s">
        <v>227</v>
      </c>
      <c r="K25" s="90"/>
      <c r="L25" s="83" t="b">
        <v>0</v>
      </c>
      <c r="M25" s="83" t="b">
        <v>1</v>
      </c>
      <c r="N25" s="91"/>
    </row>
    <row r="26">
      <c r="A26" s="79" t="s">
        <v>228</v>
      </c>
      <c r="B26" s="80" t="s">
        <v>140</v>
      </c>
      <c r="C26" s="80" t="s">
        <v>141</v>
      </c>
      <c r="D26" s="81" t="s">
        <v>162</v>
      </c>
      <c r="E26" s="80" t="s">
        <v>163</v>
      </c>
      <c r="F26" s="89"/>
      <c r="G26" s="80" t="s">
        <v>144</v>
      </c>
      <c r="H26" s="88" t="s">
        <v>145</v>
      </c>
      <c r="I26" s="80" t="s">
        <v>146</v>
      </c>
      <c r="J26" s="81" t="s">
        <v>229</v>
      </c>
      <c r="K26" s="90"/>
      <c r="L26" s="83" t="b">
        <v>0</v>
      </c>
      <c r="M26" s="83" t="b">
        <v>1</v>
      </c>
      <c r="N26" s="89"/>
    </row>
    <row r="27">
      <c r="A27" s="84" t="s">
        <v>230</v>
      </c>
      <c r="B27" s="85" t="s">
        <v>140</v>
      </c>
      <c r="C27" s="85" t="s">
        <v>141</v>
      </c>
      <c r="D27" s="86" t="s">
        <v>166</v>
      </c>
      <c r="E27" s="85" t="s">
        <v>167</v>
      </c>
      <c r="F27" s="91"/>
      <c r="G27" s="85" t="s">
        <v>144</v>
      </c>
      <c r="H27" s="87" t="s">
        <v>145</v>
      </c>
      <c r="I27" s="85" t="s">
        <v>146</v>
      </c>
      <c r="J27" s="81" t="s">
        <v>231</v>
      </c>
      <c r="K27" s="90"/>
      <c r="L27" s="83" t="b">
        <v>0</v>
      </c>
      <c r="M27" s="83" t="b">
        <v>1</v>
      </c>
      <c r="N27" s="91"/>
    </row>
    <row r="28">
      <c r="A28" s="79" t="s">
        <v>232</v>
      </c>
      <c r="B28" s="80" t="s">
        <v>140</v>
      </c>
      <c r="C28" s="80" t="s">
        <v>141</v>
      </c>
      <c r="D28" s="80" t="s">
        <v>170</v>
      </c>
      <c r="E28" s="80" t="s">
        <v>171</v>
      </c>
      <c r="F28" s="89"/>
      <c r="G28" s="80" t="s">
        <v>172</v>
      </c>
      <c r="H28" s="88" t="s">
        <v>145</v>
      </c>
      <c r="I28" s="80" t="s">
        <v>173</v>
      </c>
      <c r="J28" s="81" t="s">
        <v>233</v>
      </c>
      <c r="K28" s="90"/>
      <c r="L28" s="83" t="b">
        <v>0</v>
      </c>
      <c r="M28" s="83" t="b">
        <v>1</v>
      </c>
      <c r="N28" s="89"/>
    </row>
    <row r="29">
      <c r="A29" s="84" t="s">
        <v>234</v>
      </c>
      <c r="B29" s="85" t="s">
        <v>140</v>
      </c>
      <c r="C29" s="85" t="s">
        <v>141</v>
      </c>
      <c r="D29" s="85" t="s">
        <v>176</v>
      </c>
      <c r="E29" s="85" t="s">
        <v>177</v>
      </c>
      <c r="F29" s="91"/>
      <c r="G29" s="85" t="s">
        <v>172</v>
      </c>
      <c r="H29" s="87" t="s">
        <v>145</v>
      </c>
      <c r="I29" s="85" t="s">
        <v>173</v>
      </c>
      <c r="J29" s="81" t="s">
        <v>235</v>
      </c>
      <c r="K29" s="90"/>
      <c r="L29" s="83" t="b">
        <v>0</v>
      </c>
      <c r="M29" s="83" t="b">
        <v>1</v>
      </c>
      <c r="N29" s="91"/>
    </row>
    <row r="30">
      <c r="A30" s="79" t="s">
        <v>236</v>
      </c>
      <c r="B30" s="80" t="s">
        <v>140</v>
      </c>
      <c r="C30" s="80" t="s">
        <v>141</v>
      </c>
      <c r="D30" s="80" t="s">
        <v>180</v>
      </c>
      <c r="E30" s="80" t="s">
        <v>181</v>
      </c>
      <c r="F30" s="89"/>
      <c r="G30" s="80" t="s">
        <v>172</v>
      </c>
      <c r="H30" s="88" t="s">
        <v>145</v>
      </c>
      <c r="I30" s="80" t="s">
        <v>173</v>
      </c>
      <c r="J30" s="81" t="s">
        <v>237</v>
      </c>
      <c r="K30" s="90"/>
      <c r="L30" s="83" t="b">
        <v>0</v>
      </c>
      <c r="M30" s="83" t="b">
        <v>1</v>
      </c>
      <c r="N30" s="89"/>
    </row>
    <row r="31">
      <c r="A31" s="84" t="s">
        <v>238</v>
      </c>
      <c r="B31" s="85" t="s">
        <v>140</v>
      </c>
      <c r="C31" s="85" t="s">
        <v>141</v>
      </c>
      <c r="D31" s="85" t="s">
        <v>184</v>
      </c>
      <c r="E31" s="85" t="s">
        <v>185</v>
      </c>
      <c r="F31" s="91"/>
      <c r="G31" s="85" t="s">
        <v>172</v>
      </c>
      <c r="H31" s="87" t="s">
        <v>145</v>
      </c>
      <c r="I31" s="85" t="s">
        <v>173</v>
      </c>
      <c r="J31" s="81" t="s">
        <v>239</v>
      </c>
      <c r="K31" s="90"/>
      <c r="L31" s="83" t="b">
        <v>0</v>
      </c>
      <c r="M31" s="83" t="b">
        <v>1</v>
      </c>
      <c r="N31" s="91"/>
    </row>
    <row r="32">
      <c r="A32" s="79" t="s">
        <v>240</v>
      </c>
      <c r="B32" s="80" t="s">
        <v>140</v>
      </c>
      <c r="C32" s="80" t="s">
        <v>141</v>
      </c>
      <c r="D32" s="80" t="s">
        <v>188</v>
      </c>
      <c r="E32" s="80" t="s">
        <v>189</v>
      </c>
      <c r="F32" s="89"/>
      <c r="G32" s="80" t="s">
        <v>172</v>
      </c>
      <c r="H32" s="88" t="s">
        <v>145</v>
      </c>
      <c r="I32" s="80" t="s">
        <v>173</v>
      </c>
      <c r="J32" s="81" t="s">
        <v>241</v>
      </c>
      <c r="K32" s="90"/>
      <c r="L32" s="83" t="b">
        <v>0</v>
      </c>
      <c r="M32" s="83" t="b">
        <v>1</v>
      </c>
      <c r="N32" s="89"/>
    </row>
    <row r="33">
      <c r="A33" s="84" t="s">
        <v>242</v>
      </c>
      <c r="B33" s="85" t="s">
        <v>140</v>
      </c>
      <c r="C33" s="85" t="s">
        <v>141</v>
      </c>
      <c r="D33" s="85" t="s">
        <v>192</v>
      </c>
      <c r="E33" s="85" t="s">
        <v>193</v>
      </c>
      <c r="F33" s="91"/>
      <c r="G33" s="85" t="s">
        <v>172</v>
      </c>
      <c r="H33" s="87" t="s">
        <v>145</v>
      </c>
      <c r="I33" s="85" t="s">
        <v>173</v>
      </c>
      <c r="J33" s="81" t="s">
        <v>243</v>
      </c>
      <c r="K33" s="90"/>
      <c r="L33" s="83" t="b">
        <v>0</v>
      </c>
      <c r="M33" s="83" t="b">
        <v>1</v>
      </c>
      <c r="N33" s="91"/>
    </row>
    <row r="34">
      <c r="A34" s="79" t="s">
        <v>244</v>
      </c>
      <c r="B34" s="80" t="s">
        <v>140</v>
      </c>
      <c r="C34" s="80" t="s">
        <v>141</v>
      </c>
      <c r="D34" s="80" t="s">
        <v>196</v>
      </c>
      <c r="E34" s="80" t="s">
        <v>197</v>
      </c>
      <c r="F34" s="89"/>
      <c r="G34" s="80" t="s">
        <v>198</v>
      </c>
      <c r="H34" s="88" t="s">
        <v>145</v>
      </c>
      <c r="I34" s="80" t="s">
        <v>173</v>
      </c>
      <c r="J34" s="81" t="s">
        <v>245</v>
      </c>
      <c r="K34" s="90"/>
      <c r="L34" s="83" t="b">
        <v>0</v>
      </c>
      <c r="M34" s="83" t="b">
        <v>1</v>
      </c>
      <c r="N34" s="89"/>
    </row>
    <row r="35" ht="15.75" customHeight="1">
      <c r="A35" s="84" t="s">
        <v>246</v>
      </c>
      <c r="B35" s="85" t="s">
        <v>140</v>
      </c>
      <c r="C35" s="85" t="s">
        <v>141</v>
      </c>
      <c r="D35" s="85" t="s">
        <v>201</v>
      </c>
      <c r="E35" s="85" t="s">
        <v>202</v>
      </c>
      <c r="F35" s="91"/>
      <c r="G35" s="85" t="s">
        <v>198</v>
      </c>
      <c r="H35" s="87" t="s">
        <v>145</v>
      </c>
      <c r="I35" s="85" t="s">
        <v>173</v>
      </c>
      <c r="J35" s="81" t="s">
        <v>247</v>
      </c>
      <c r="K35" s="90"/>
      <c r="L35" s="83" t="b">
        <v>0</v>
      </c>
      <c r="M35" s="83" t="b">
        <v>1</v>
      </c>
      <c r="N35" s="91"/>
    </row>
    <row r="36" ht="15.75" customHeight="1">
      <c r="A36" s="79" t="s">
        <v>248</v>
      </c>
      <c r="B36" s="80" t="s">
        <v>140</v>
      </c>
      <c r="C36" s="80" t="s">
        <v>141</v>
      </c>
      <c r="D36" s="80" t="s">
        <v>205</v>
      </c>
      <c r="E36" s="80" t="s">
        <v>206</v>
      </c>
      <c r="F36" s="89"/>
      <c r="G36" s="80" t="s">
        <v>198</v>
      </c>
      <c r="H36" s="88" t="s">
        <v>145</v>
      </c>
      <c r="I36" s="80" t="s">
        <v>173</v>
      </c>
      <c r="J36" s="81" t="s">
        <v>249</v>
      </c>
      <c r="K36" s="90"/>
      <c r="L36" s="83" t="b">
        <v>0</v>
      </c>
      <c r="M36" s="83" t="b">
        <v>1</v>
      </c>
      <c r="N36" s="89"/>
    </row>
    <row r="37" ht="15.75" customHeight="1">
      <c r="A37" s="84" t="s">
        <v>250</v>
      </c>
      <c r="B37" s="85" t="s">
        <v>140</v>
      </c>
      <c r="C37" s="85" t="s">
        <v>141</v>
      </c>
      <c r="D37" s="85" t="s">
        <v>209</v>
      </c>
      <c r="E37" s="85" t="s">
        <v>210</v>
      </c>
      <c r="F37" s="91"/>
      <c r="G37" s="85" t="s">
        <v>198</v>
      </c>
      <c r="H37" s="87" t="s">
        <v>145</v>
      </c>
      <c r="I37" s="85" t="s">
        <v>173</v>
      </c>
      <c r="J37" s="81" t="s">
        <v>251</v>
      </c>
      <c r="K37" s="90"/>
      <c r="L37" s="83" t="b">
        <v>0</v>
      </c>
      <c r="M37" s="83" t="b">
        <v>1</v>
      </c>
      <c r="N37" s="91"/>
    </row>
    <row r="38" ht="15.75" customHeight="1">
      <c r="A38" s="79" t="s">
        <v>252</v>
      </c>
      <c r="B38" s="80" t="s">
        <v>140</v>
      </c>
      <c r="C38" s="80" t="s">
        <v>141</v>
      </c>
      <c r="D38" s="80" t="s">
        <v>213</v>
      </c>
      <c r="E38" s="80" t="s">
        <v>214</v>
      </c>
      <c r="F38" s="89"/>
      <c r="G38" s="80" t="s">
        <v>198</v>
      </c>
      <c r="H38" s="88" t="s">
        <v>145</v>
      </c>
      <c r="I38" s="80" t="s">
        <v>173</v>
      </c>
      <c r="J38" s="81" t="s">
        <v>253</v>
      </c>
      <c r="K38" s="90"/>
      <c r="L38" s="83" t="b">
        <v>0</v>
      </c>
      <c r="M38" s="83" t="b">
        <v>1</v>
      </c>
      <c r="N38" s="89"/>
    </row>
    <row r="39" ht="15.75" customHeight="1">
      <c r="A39" s="84" t="s">
        <v>254</v>
      </c>
      <c r="B39" s="85" t="s">
        <v>140</v>
      </c>
      <c r="C39" s="85" t="s">
        <v>141</v>
      </c>
      <c r="D39" s="85" t="s">
        <v>217</v>
      </c>
      <c r="E39" s="85" t="s">
        <v>218</v>
      </c>
      <c r="F39" s="91"/>
      <c r="G39" s="85" t="s">
        <v>198</v>
      </c>
      <c r="H39" s="87" t="s">
        <v>145</v>
      </c>
      <c r="I39" s="85" t="s">
        <v>173</v>
      </c>
      <c r="J39" s="81" t="s">
        <v>255</v>
      </c>
      <c r="K39" s="90"/>
      <c r="L39" s="83" t="b">
        <v>0</v>
      </c>
      <c r="M39" s="83" t="b">
        <v>1</v>
      </c>
      <c r="N39" s="91"/>
    </row>
    <row r="40" ht="15.75" customHeight="1">
      <c r="A40" s="79" t="s">
        <v>256</v>
      </c>
      <c r="B40" s="80" t="s">
        <v>140</v>
      </c>
      <c r="C40" s="80" t="s">
        <v>141</v>
      </c>
      <c r="D40" s="81" t="s">
        <v>142</v>
      </c>
      <c r="E40" s="80" t="s">
        <v>143</v>
      </c>
      <c r="F40" s="89"/>
      <c r="G40" s="80" t="s">
        <v>144</v>
      </c>
      <c r="H40" s="88" t="s">
        <v>145</v>
      </c>
      <c r="I40" s="80" t="s">
        <v>146</v>
      </c>
      <c r="J40" s="81" t="s">
        <v>257</v>
      </c>
      <c r="K40" s="90"/>
      <c r="L40" s="83" t="b">
        <v>0</v>
      </c>
      <c r="M40" s="83" t="b">
        <v>1</v>
      </c>
      <c r="N40" s="89"/>
    </row>
    <row r="41" ht="15.75" customHeight="1">
      <c r="A41" s="84" t="s">
        <v>258</v>
      </c>
      <c r="B41" s="85" t="s">
        <v>140</v>
      </c>
      <c r="C41" s="85" t="s">
        <v>141</v>
      </c>
      <c r="D41" s="86" t="s">
        <v>150</v>
      </c>
      <c r="E41" s="85" t="s">
        <v>151</v>
      </c>
      <c r="F41" s="91"/>
      <c r="G41" s="85" t="s">
        <v>144</v>
      </c>
      <c r="H41" s="87" t="s">
        <v>145</v>
      </c>
      <c r="I41" s="85" t="s">
        <v>146</v>
      </c>
      <c r="J41" s="81" t="s">
        <v>259</v>
      </c>
      <c r="K41" s="90"/>
      <c r="L41" s="83" t="b">
        <v>0</v>
      </c>
      <c r="M41" s="83" t="b">
        <v>1</v>
      </c>
      <c r="N41" s="91"/>
    </row>
    <row r="42" ht="15.75" customHeight="1">
      <c r="A42" s="79" t="s">
        <v>260</v>
      </c>
      <c r="B42" s="80" t="s">
        <v>140</v>
      </c>
      <c r="C42" s="80" t="s">
        <v>141</v>
      </c>
      <c r="D42" s="81" t="s">
        <v>154</v>
      </c>
      <c r="E42" s="80" t="s">
        <v>155</v>
      </c>
      <c r="F42" s="89"/>
      <c r="G42" s="80" t="s">
        <v>144</v>
      </c>
      <c r="H42" s="88" t="s">
        <v>145</v>
      </c>
      <c r="I42" s="80" t="s">
        <v>146</v>
      </c>
      <c r="J42" s="81" t="s">
        <v>261</v>
      </c>
      <c r="K42" s="90"/>
      <c r="L42" s="83" t="b">
        <v>0</v>
      </c>
      <c r="M42" s="83" t="b">
        <v>1</v>
      </c>
      <c r="N42" s="89"/>
    </row>
    <row r="43" ht="15.75" customHeight="1">
      <c r="A43" s="84" t="s">
        <v>262</v>
      </c>
      <c r="B43" s="85" t="s">
        <v>140</v>
      </c>
      <c r="C43" s="85" t="s">
        <v>141</v>
      </c>
      <c r="D43" s="86" t="s">
        <v>158</v>
      </c>
      <c r="E43" s="85" t="s">
        <v>159</v>
      </c>
      <c r="F43" s="91"/>
      <c r="G43" s="85" t="s">
        <v>144</v>
      </c>
      <c r="H43" s="87" t="s">
        <v>145</v>
      </c>
      <c r="I43" s="85" t="s">
        <v>146</v>
      </c>
      <c r="J43" s="81" t="s">
        <v>263</v>
      </c>
      <c r="K43" s="90"/>
      <c r="L43" s="83" t="b">
        <v>0</v>
      </c>
      <c r="M43" s="83" t="b">
        <v>1</v>
      </c>
      <c r="N43" s="91"/>
    </row>
    <row r="44" ht="15.75" customHeight="1">
      <c r="A44" s="79" t="s">
        <v>264</v>
      </c>
      <c r="B44" s="80" t="s">
        <v>140</v>
      </c>
      <c r="C44" s="80" t="s">
        <v>141</v>
      </c>
      <c r="D44" s="81" t="s">
        <v>162</v>
      </c>
      <c r="E44" s="80" t="s">
        <v>163</v>
      </c>
      <c r="F44" s="89"/>
      <c r="G44" s="80" t="s">
        <v>144</v>
      </c>
      <c r="H44" s="88" t="s">
        <v>145</v>
      </c>
      <c r="I44" s="80" t="s">
        <v>146</v>
      </c>
      <c r="J44" s="81" t="s">
        <v>265</v>
      </c>
      <c r="K44" s="90"/>
      <c r="L44" s="83" t="b">
        <v>0</v>
      </c>
      <c r="M44" s="83" t="b">
        <v>1</v>
      </c>
      <c r="N44" s="89"/>
    </row>
    <row r="45" ht="15.75" customHeight="1">
      <c r="A45" s="84" t="s">
        <v>266</v>
      </c>
      <c r="B45" s="85" t="s">
        <v>140</v>
      </c>
      <c r="C45" s="85" t="s">
        <v>141</v>
      </c>
      <c r="D45" s="86" t="s">
        <v>166</v>
      </c>
      <c r="E45" s="85" t="s">
        <v>167</v>
      </c>
      <c r="F45" s="91"/>
      <c r="G45" s="85" t="s">
        <v>144</v>
      </c>
      <c r="H45" s="87" t="s">
        <v>145</v>
      </c>
      <c r="I45" s="85" t="s">
        <v>146</v>
      </c>
      <c r="J45" s="81" t="s">
        <v>267</v>
      </c>
      <c r="K45" s="90"/>
      <c r="L45" s="83" t="b">
        <v>0</v>
      </c>
      <c r="M45" s="83" t="b">
        <v>1</v>
      </c>
      <c r="N45" s="91"/>
    </row>
    <row r="46" ht="15.75" customHeight="1">
      <c r="A46" s="79" t="s">
        <v>268</v>
      </c>
      <c r="B46" s="80" t="s">
        <v>140</v>
      </c>
      <c r="C46" s="80" t="s">
        <v>141</v>
      </c>
      <c r="D46" s="80" t="s">
        <v>170</v>
      </c>
      <c r="E46" s="80" t="s">
        <v>171</v>
      </c>
      <c r="F46" s="89"/>
      <c r="G46" s="80" t="s">
        <v>172</v>
      </c>
      <c r="H46" s="88" t="s">
        <v>145</v>
      </c>
      <c r="I46" s="80" t="s">
        <v>173</v>
      </c>
      <c r="J46" s="81" t="s">
        <v>269</v>
      </c>
      <c r="K46" s="90"/>
      <c r="L46" s="83" t="b">
        <v>0</v>
      </c>
      <c r="M46" s="83" t="b">
        <v>1</v>
      </c>
      <c r="N46" s="89"/>
    </row>
    <row r="47" ht="15.75" customHeight="1">
      <c r="A47" s="84" t="s">
        <v>270</v>
      </c>
      <c r="B47" s="85" t="s">
        <v>140</v>
      </c>
      <c r="C47" s="85" t="s">
        <v>141</v>
      </c>
      <c r="D47" s="85" t="s">
        <v>176</v>
      </c>
      <c r="E47" s="85" t="s">
        <v>177</v>
      </c>
      <c r="F47" s="91"/>
      <c r="G47" s="85" t="s">
        <v>172</v>
      </c>
      <c r="H47" s="87" t="s">
        <v>145</v>
      </c>
      <c r="I47" s="85" t="s">
        <v>173</v>
      </c>
      <c r="J47" s="81" t="s">
        <v>271</v>
      </c>
      <c r="K47" s="90"/>
      <c r="L47" s="83" t="b">
        <v>0</v>
      </c>
      <c r="M47" s="83" t="b">
        <v>1</v>
      </c>
      <c r="N47" s="91"/>
    </row>
    <row r="48" ht="15.75" customHeight="1">
      <c r="A48" s="79" t="s">
        <v>272</v>
      </c>
      <c r="B48" s="80" t="s">
        <v>140</v>
      </c>
      <c r="C48" s="80" t="s">
        <v>141</v>
      </c>
      <c r="D48" s="80" t="s">
        <v>180</v>
      </c>
      <c r="E48" s="80" t="s">
        <v>181</v>
      </c>
      <c r="F48" s="89"/>
      <c r="G48" s="80" t="s">
        <v>172</v>
      </c>
      <c r="H48" s="88" t="s">
        <v>145</v>
      </c>
      <c r="I48" s="80" t="s">
        <v>173</v>
      </c>
      <c r="J48" s="81" t="s">
        <v>273</v>
      </c>
      <c r="K48" s="90"/>
      <c r="L48" s="83" t="b">
        <v>0</v>
      </c>
      <c r="M48" s="83" t="b">
        <v>1</v>
      </c>
      <c r="N48" s="89"/>
    </row>
    <row r="49" ht="15.75" customHeight="1">
      <c r="A49" s="84" t="s">
        <v>274</v>
      </c>
      <c r="B49" s="85" t="s">
        <v>140</v>
      </c>
      <c r="C49" s="85" t="s">
        <v>141</v>
      </c>
      <c r="D49" s="85" t="s">
        <v>184</v>
      </c>
      <c r="E49" s="85" t="s">
        <v>185</v>
      </c>
      <c r="F49" s="91"/>
      <c r="G49" s="85" t="s">
        <v>172</v>
      </c>
      <c r="H49" s="87" t="s">
        <v>145</v>
      </c>
      <c r="I49" s="85" t="s">
        <v>173</v>
      </c>
      <c r="J49" s="81" t="s">
        <v>275</v>
      </c>
      <c r="K49" s="90"/>
      <c r="L49" s="83" t="b">
        <v>0</v>
      </c>
      <c r="M49" s="83" t="b">
        <v>1</v>
      </c>
      <c r="N49" s="91"/>
    </row>
    <row r="50" ht="15.75" customHeight="1">
      <c r="A50" s="79" t="s">
        <v>276</v>
      </c>
      <c r="B50" s="80" t="s">
        <v>140</v>
      </c>
      <c r="C50" s="80" t="s">
        <v>141</v>
      </c>
      <c r="D50" s="80" t="s">
        <v>188</v>
      </c>
      <c r="E50" s="80" t="s">
        <v>189</v>
      </c>
      <c r="F50" s="89"/>
      <c r="G50" s="80" t="s">
        <v>172</v>
      </c>
      <c r="H50" s="88" t="s">
        <v>145</v>
      </c>
      <c r="I50" s="80" t="s">
        <v>173</v>
      </c>
      <c r="J50" s="81" t="s">
        <v>277</v>
      </c>
      <c r="K50" s="90"/>
      <c r="L50" s="83" t="b">
        <v>0</v>
      </c>
      <c r="M50" s="83" t="b">
        <v>1</v>
      </c>
      <c r="N50" s="89"/>
    </row>
    <row r="51" ht="15.75" customHeight="1">
      <c r="A51" s="84" t="s">
        <v>278</v>
      </c>
      <c r="B51" s="85" t="s">
        <v>140</v>
      </c>
      <c r="C51" s="85" t="s">
        <v>141</v>
      </c>
      <c r="D51" s="85" t="s">
        <v>192</v>
      </c>
      <c r="E51" s="85" t="s">
        <v>193</v>
      </c>
      <c r="F51" s="91"/>
      <c r="G51" s="85" t="s">
        <v>172</v>
      </c>
      <c r="H51" s="87" t="s">
        <v>145</v>
      </c>
      <c r="I51" s="85" t="s">
        <v>173</v>
      </c>
      <c r="J51" s="81" t="s">
        <v>279</v>
      </c>
      <c r="K51" s="90"/>
      <c r="L51" s="83" t="b">
        <v>0</v>
      </c>
      <c r="M51" s="83" t="b">
        <v>1</v>
      </c>
      <c r="N51" s="91"/>
    </row>
    <row r="52" ht="15.75" customHeight="1">
      <c r="A52" s="79" t="s">
        <v>280</v>
      </c>
      <c r="B52" s="80" t="s">
        <v>140</v>
      </c>
      <c r="C52" s="80" t="s">
        <v>141</v>
      </c>
      <c r="D52" s="80" t="s">
        <v>196</v>
      </c>
      <c r="E52" s="80" t="s">
        <v>197</v>
      </c>
      <c r="F52" s="89"/>
      <c r="G52" s="80" t="s">
        <v>198</v>
      </c>
      <c r="H52" s="88" t="s">
        <v>145</v>
      </c>
      <c r="I52" s="80" t="s">
        <v>173</v>
      </c>
      <c r="J52" s="81" t="s">
        <v>281</v>
      </c>
      <c r="K52" s="90"/>
      <c r="L52" s="83" t="b">
        <v>0</v>
      </c>
      <c r="M52" s="83" t="b">
        <v>1</v>
      </c>
      <c r="N52" s="89"/>
    </row>
    <row r="53" ht="15.75" customHeight="1">
      <c r="A53" s="84" t="s">
        <v>282</v>
      </c>
      <c r="B53" s="85" t="s">
        <v>140</v>
      </c>
      <c r="C53" s="85" t="s">
        <v>141</v>
      </c>
      <c r="D53" s="85" t="s">
        <v>201</v>
      </c>
      <c r="E53" s="85" t="s">
        <v>202</v>
      </c>
      <c r="F53" s="91"/>
      <c r="G53" s="85" t="s">
        <v>198</v>
      </c>
      <c r="H53" s="87" t="s">
        <v>145</v>
      </c>
      <c r="I53" s="85" t="s">
        <v>173</v>
      </c>
      <c r="J53" s="81" t="s">
        <v>283</v>
      </c>
      <c r="K53" s="90"/>
      <c r="L53" s="83" t="b">
        <v>0</v>
      </c>
      <c r="M53" s="83" t="b">
        <v>1</v>
      </c>
      <c r="N53" s="91"/>
    </row>
    <row r="54" ht="15.75" customHeight="1">
      <c r="A54" s="79" t="s">
        <v>284</v>
      </c>
      <c r="B54" s="80" t="s">
        <v>140</v>
      </c>
      <c r="C54" s="80" t="s">
        <v>141</v>
      </c>
      <c r="D54" s="80" t="s">
        <v>205</v>
      </c>
      <c r="E54" s="80" t="s">
        <v>206</v>
      </c>
      <c r="F54" s="89"/>
      <c r="G54" s="80" t="s">
        <v>198</v>
      </c>
      <c r="H54" s="88" t="s">
        <v>145</v>
      </c>
      <c r="I54" s="80" t="s">
        <v>173</v>
      </c>
      <c r="J54" s="81" t="s">
        <v>285</v>
      </c>
      <c r="K54" s="90"/>
      <c r="L54" s="83" t="b">
        <v>0</v>
      </c>
      <c r="M54" s="83" t="b">
        <v>1</v>
      </c>
      <c r="N54" s="89"/>
    </row>
    <row r="55" ht="15.75" customHeight="1">
      <c r="A55" s="84" t="s">
        <v>286</v>
      </c>
      <c r="B55" s="85" t="s">
        <v>140</v>
      </c>
      <c r="C55" s="85" t="s">
        <v>141</v>
      </c>
      <c r="D55" s="85" t="s">
        <v>209</v>
      </c>
      <c r="E55" s="85" t="s">
        <v>210</v>
      </c>
      <c r="F55" s="91"/>
      <c r="G55" s="85" t="s">
        <v>198</v>
      </c>
      <c r="H55" s="87" t="s">
        <v>145</v>
      </c>
      <c r="I55" s="85" t="s">
        <v>173</v>
      </c>
      <c r="J55" s="81" t="s">
        <v>287</v>
      </c>
      <c r="K55" s="90"/>
      <c r="L55" s="83" t="b">
        <v>0</v>
      </c>
      <c r="M55" s="83" t="b">
        <v>1</v>
      </c>
      <c r="N55" s="91"/>
    </row>
    <row r="56" ht="15.75" customHeight="1">
      <c r="A56" s="79" t="s">
        <v>288</v>
      </c>
      <c r="B56" s="80" t="s">
        <v>140</v>
      </c>
      <c r="C56" s="80" t="s">
        <v>141</v>
      </c>
      <c r="D56" s="80" t="s">
        <v>213</v>
      </c>
      <c r="E56" s="80" t="s">
        <v>214</v>
      </c>
      <c r="F56" s="89"/>
      <c r="G56" s="80" t="s">
        <v>198</v>
      </c>
      <c r="H56" s="88" t="s">
        <v>145</v>
      </c>
      <c r="I56" s="80" t="s">
        <v>173</v>
      </c>
      <c r="J56" s="81" t="s">
        <v>289</v>
      </c>
      <c r="K56" s="90"/>
      <c r="L56" s="83" t="b">
        <v>0</v>
      </c>
      <c r="M56" s="83" t="b">
        <v>1</v>
      </c>
      <c r="N56" s="89"/>
    </row>
    <row r="57" ht="15.75" customHeight="1">
      <c r="A57" s="84" t="s">
        <v>290</v>
      </c>
      <c r="B57" s="85" t="s">
        <v>140</v>
      </c>
      <c r="C57" s="85" t="s">
        <v>141</v>
      </c>
      <c r="D57" s="85" t="s">
        <v>217</v>
      </c>
      <c r="E57" s="85" t="s">
        <v>218</v>
      </c>
      <c r="F57" s="91"/>
      <c r="G57" s="85" t="s">
        <v>198</v>
      </c>
      <c r="H57" s="87" t="s">
        <v>145</v>
      </c>
      <c r="I57" s="85" t="s">
        <v>173</v>
      </c>
      <c r="J57" s="81" t="s">
        <v>291</v>
      </c>
      <c r="K57" s="90"/>
      <c r="L57" s="83" t="b">
        <v>0</v>
      </c>
      <c r="M57" s="83" t="b">
        <v>1</v>
      </c>
      <c r="N57" s="91"/>
    </row>
    <row r="58">
      <c r="A58" s="79" t="s">
        <v>292</v>
      </c>
      <c r="B58" s="80" t="s">
        <v>140</v>
      </c>
      <c r="C58" s="80" t="s">
        <v>293</v>
      </c>
      <c r="D58" s="80" t="s">
        <v>294</v>
      </c>
      <c r="E58" s="80" t="s">
        <v>295</v>
      </c>
      <c r="F58" s="80"/>
      <c r="G58" s="80" t="s">
        <v>144</v>
      </c>
      <c r="H58" s="88" t="s">
        <v>145</v>
      </c>
      <c r="I58" s="80" t="s">
        <v>173</v>
      </c>
      <c r="J58" s="80"/>
      <c r="K58" s="80"/>
      <c r="L58" s="83" t="b">
        <v>0</v>
      </c>
      <c r="M58" s="83" t="b">
        <v>1</v>
      </c>
      <c r="N58" s="80"/>
    </row>
    <row r="59">
      <c r="A59" s="84" t="s">
        <v>296</v>
      </c>
      <c r="B59" s="85" t="s">
        <v>140</v>
      </c>
      <c r="C59" s="85" t="s">
        <v>293</v>
      </c>
      <c r="D59" s="85" t="s">
        <v>297</v>
      </c>
      <c r="E59" s="85" t="s">
        <v>298</v>
      </c>
      <c r="F59" s="91"/>
      <c r="G59" s="85" t="s">
        <v>144</v>
      </c>
      <c r="H59" s="87" t="s">
        <v>145</v>
      </c>
      <c r="I59" s="85" t="s">
        <v>173</v>
      </c>
      <c r="J59" s="80"/>
      <c r="K59" s="90"/>
      <c r="L59" s="83" t="b">
        <v>0</v>
      </c>
      <c r="M59" s="83" t="b">
        <v>1</v>
      </c>
      <c r="N59" s="91"/>
    </row>
    <row r="60">
      <c r="A60" s="79" t="s">
        <v>299</v>
      </c>
      <c r="B60" s="80" t="s">
        <v>140</v>
      </c>
      <c r="C60" s="80" t="s">
        <v>293</v>
      </c>
      <c r="D60" s="80" t="s">
        <v>300</v>
      </c>
      <c r="E60" s="80" t="s">
        <v>301</v>
      </c>
      <c r="F60" s="89"/>
      <c r="G60" s="80" t="s">
        <v>144</v>
      </c>
      <c r="H60" s="88" t="s">
        <v>145</v>
      </c>
      <c r="I60" s="80" t="s">
        <v>173</v>
      </c>
      <c r="J60" s="80"/>
      <c r="K60" s="90"/>
      <c r="L60" s="83" t="b">
        <v>0</v>
      </c>
      <c r="M60" s="83" t="b">
        <v>1</v>
      </c>
      <c r="N60" s="89"/>
    </row>
    <row r="61">
      <c r="A61" s="84" t="s">
        <v>302</v>
      </c>
      <c r="B61" s="85" t="s">
        <v>140</v>
      </c>
      <c r="C61" s="85" t="s">
        <v>293</v>
      </c>
      <c r="D61" s="91" t="s">
        <v>303</v>
      </c>
      <c r="E61" s="91" t="s">
        <v>304</v>
      </c>
      <c r="F61" s="91"/>
      <c r="G61" s="85" t="s">
        <v>144</v>
      </c>
      <c r="H61" s="87" t="s">
        <v>145</v>
      </c>
      <c r="I61" s="85" t="s">
        <v>173</v>
      </c>
      <c r="J61" s="80"/>
      <c r="K61" s="90"/>
      <c r="L61" s="83" t="b">
        <v>0</v>
      </c>
      <c r="M61" s="83" t="b">
        <v>1</v>
      </c>
      <c r="N61" s="91"/>
    </row>
    <row r="62">
      <c r="A62" s="79" t="s">
        <v>305</v>
      </c>
      <c r="B62" s="80" t="s">
        <v>140</v>
      </c>
      <c r="C62" s="80" t="s">
        <v>293</v>
      </c>
      <c r="D62" s="89" t="s">
        <v>306</v>
      </c>
      <c r="E62" s="89" t="s">
        <v>307</v>
      </c>
      <c r="F62" s="89"/>
      <c r="G62" s="80" t="s">
        <v>144</v>
      </c>
      <c r="H62" s="88" t="s">
        <v>145</v>
      </c>
      <c r="I62" s="80" t="s">
        <v>173</v>
      </c>
      <c r="J62" s="80"/>
      <c r="K62" s="90"/>
      <c r="L62" s="83" t="b">
        <v>0</v>
      </c>
      <c r="M62" s="83" t="b">
        <v>1</v>
      </c>
      <c r="N62" s="89"/>
    </row>
    <row r="63">
      <c r="A63" s="84" t="s">
        <v>308</v>
      </c>
      <c r="B63" s="85" t="s">
        <v>140</v>
      </c>
      <c r="C63" s="85" t="s">
        <v>293</v>
      </c>
      <c r="D63" s="91" t="s">
        <v>309</v>
      </c>
      <c r="E63" s="91" t="s">
        <v>310</v>
      </c>
      <c r="F63" s="91"/>
      <c r="G63" s="85" t="s">
        <v>144</v>
      </c>
      <c r="H63" s="87" t="s">
        <v>145</v>
      </c>
      <c r="I63" s="85" t="s">
        <v>173</v>
      </c>
      <c r="J63" s="80"/>
      <c r="K63" s="90"/>
      <c r="L63" s="83" t="b">
        <v>0</v>
      </c>
      <c r="M63" s="83" t="b">
        <v>1</v>
      </c>
      <c r="N63" s="91"/>
    </row>
    <row r="64">
      <c r="A64" s="79" t="s">
        <v>311</v>
      </c>
      <c r="B64" s="80" t="s">
        <v>140</v>
      </c>
      <c r="C64" s="80" t="s">
        <v>293</v>
      </c>
      <c r="D64" s="89" t="s">
        <v>312</v>
      </c>
      <c r="E64" s="89" t="s">
        <v>313</v>
      </c>
      <c r="F64" s="89"/>
      <c r="G64" s="80" t="s">
        <v>144</v>
      </c>
      <c r="H64" s="88" t="s">
        <v>145</v>
      </c>
      <c r="I64" s="80" t="s">
        <v>173</v>
      </c>
      <c r="J64" s="80"/>
      <c r="K64" s="90"/>
      <c r="L64" s="83" t="b">
        <v>0</v>
      </c>
      <c r="M64" s="83" t="b">
        <v>1</v>
      </c>
      <c r="N64" s="89"/>
    </row>
    <row r="65">
      <c r="A65" s="84" t="s">
        <v>314</v>
      </c>
      <c r="B65" s="85" t="s">
        <v>140</v>
      </c>
      <c r="C65" s="85" t="s">
        <v>293</v>
      </c>
      <c r="D65" s="91" t="s">
        <v>315</v>
      </c>
      <c r="E65" s="91" t="s">
        <v>316</v>
      </c>
      <c r="F65" s="91"/>
      <c r="G65" s="85" t="s">
        <v>144</v>
      </c>
      <c r="H65" s="87" t="s">
        <v>145</v>
      </c>
      <c r="I65" s="85" t="s">
        <v>173</v>
      </c>
      <c r="J65" s="80"/>
      <c r="K65" s="90"/>
      <c r="L65" s="83" t="b">
        <v>0</v>
      </c>
      <c r="M65" s="83" t="b">
        <v>1</v>
      </c>
      <c r="N65" s="91"/>
    </row>
    <row r="66">
      <c r="A66" s="79" t="s">
        <v>317</v>
      </c>
      <c r="B66" s="80" t="s">
        <v>140</v>
      </c>
      <c r="C66" s="80" t="s">
        <v>293</v>
      </c>
      <c r="D66" s="89" t="s">
        <v>318</v>
      </c>
      <c r="E66" s="89" t="s">
        <v>319</v>
      </c>
      <c r="F66" s="89"/>
      <c r="G66" s="80" t="s">
        <v>144</v>
      </c>
      <c r="H66" s="88" t="s">
        <v>145</v>
      </c>
      <c r="I66" s="80" t="s">
        <v>173</v>
      </c>
      <c r="J66" s="80"/>
      <c r="K66" s="90"/>
      <c r="L66" s="83" t="b">
        <v>0</v>
      </c>
      <c r="M66" s="83" t="b">
        <v>1</v>
      </c>
      <c r="N66" s="89"/>
    </row>
    <row r="67">
      <c r="A67" s="84" t="s">
        <v>320</v>
      </c>
      <c r="B67" s="85" t="s">
        <v>140</v>
      </c>
      <c r="C67" s="85" t="s">
        <v>293</v>
      </c>
      <c r="D67" s="91" t="s">
        <v>321</v>
      </c>
      <c r="E67" s="91" t="s">
        <v>322</v>
      </c>
      <c r="F67" s="91"/>
      <c r="G67" s="85" t="s">
        <v>144</v>
      </c>
      <c r="H67" s="87" t="s">
        <v>145</v>
      </c>
      <c r="I67" s="85" t="s">
        <v>173</v>
      </c>
      <c r="J67" s="80"/>
      <c r="K67" s="90"/>
      <c r="L67" s="83" t="b">
        <v>0</v>
      </c>
      <c r="M67" s="83" t="b">
        <v>1</v>
      </c>
      <c r="N67" s="91"/>
    </row>
    <row r="68">
      <c r="A68" s="79" t="s">
        <v>323</v>
      </c>
      <c r="B68" s="80" t="s">
        <v>140</v>
      </c>
      <c r="C68" s="80" t="s">
        <v>293</v>
      </c>
      <c r="D68" s="89" t="s">
        <v>324</v>
      </c>
      <c r="E68" s="89" t="s">
        <v>325</v>
      </c>
      <c r="F68" s="89"/>
      <c r="G68" s="80" t="s">
        <v>144</v>
      </c>
      <c r="H68" s="88" t="s">
        <v>145</v>
      </c>
      <c r="I68" s="80" t="s">
        <v>173</v>
      </c>
      <c r="J68" s="80"/>
      <c r="K68" s="90"/>
      <c r="L68" s="83" t="b">
        <v>0</v>
      </c>
      <c r="M68" s="83" t="b">
        <v>1</v>
      </c>
      <c r="N68" s="89"/>
    </row>
    <row r="69">
      <c r="A69" s="84" t="s">
        <v>326</v>
      </c>
      <c r="B69" s="85" t="s">
        <v>140</v>
      </c>
      <c r="C69" s="85" t="s">
        <v>293</v>
      </c>
      <c r="D69" s="91" t="s">
        <v>327</v>
      </c>
      <c r="E69" s="91" t="s">
        <v>328</v>
      </c>
      <c r="F69" s="91"/>
      <c r="G69" s="85" t="s">
        <v>144</v>
      </c>
      <c r="H69" s="87" t="s">
        <v>145</v>
      </c>
      <c r="I69" s="85" t="s">
        <v>173</v>
      </c>
      <c r="J69" s="80"/>
      <c r="K69" s="90"/>
      <c r="L69" s="83" t="b">
        <v>0</v>
      </c>
      <c r="M69" s="83" t="b">
        <v>1</v>
      </c>
      <c r="N69" s="91"/>
    </row>
    <row r="70">
      <c r="A70" s="79" t="s">
        <v>329</v>
      </c>
      <c r="B70" s="80" t="s">
        <v>140</v>
      </c>
      <c r="C70" s="80" t="s">
        <v>293</v>
      </c>
      <c r="D70" s="89" t="s">
        <v>330</v>
      </c>
      <c r="E70" s="89" t="s">
        <v>331</v>
      </c>
      <c r="F70" s="89"/>
      <c r="G70" s="80" t="s">
        <v>172</v>
      </c>
      <c r="H70" s="88" t="s">
        <v>145</v>
      </c>
      <c r="I70" s="80" t="s">
        <v>173</v>
      </c>
      <c r="J70" s="80"/>
      <c r="K70" s="90"/>
      <c r="L70" s="83" t="b">
        <v>0</v>
      </c>
      <c r="M70" s="83" t="b">
        <v>1</v>
      </c>
      <c r="N70" s="89"/>
    </row>
    <row r="71">
      <c r="A71" s="84" t="s">
        <v>332</v>
      </c>
      <c r="B71" s="85" t="s">
        <v>140</v>
      </c>
      <c r="C71" s="85" t="s">
        <v>293</v>
      </c>
      <c r="D71" s="91" t="s">
        <v>333</v>
      </c>
      <c r="E71" s="91" t="s">
        <v>334</v>
      </c>
      <c r="F71" s="91"/>
      <c r="G71" s="85" t="s">
        <v>172</v>
      </c>
      <c r="H71" s="87" t="s">
        <v>145</v>
      </c>
      <c r="I71" s="85" t="s">
        <v>173</v>
      </c>
      <c r="J71" s="80"/>
      <c r="K71" s="90"/>
      <c r="L71" s="83" t="b">
        <v>0</v>
      </c>
      <c r="M71" s="83" t="b">
        <v>1</v>
      </c>
      <c r="N71" s="91"/>
    </row>
    <row r="72">
      <c r="A72" s="79" t="s">
        <v>335</v>
      </c>
      <c r="B72" s="80" t="s">
        <v>140</v>
      </c>
      <c r="C72" s="80" t="s">
        <v>293</v>
      </c>
      <c r="D72" s="89" t="s">
        <v>336</v>
      </c>
      <c r="E72" s="89" t="s">
        <v>337</v>
      </c>
      <c r="F72" s="89"/>
      <c r="G72" s="80" t="s">
        <v>172</v>
      </c>
      <c r="H72" s="88" t="s">
        <v>145</v>
      </c>
      <c r="I72" s="80" t="s">
        <v>173</v>
      </c>
      <c r="J72" s="80"/>
      <c r="K72" s="90"/>
      <c r="L72" s="83" t="b">
        <v>0</v>
      </c>
      <c r="M72" s="83" t="b">
        <v>1</v>
      </c>
      <c r="N72" s="89"/>
    </row>
    <row r="73">
      <c r="A73" s="84" t="s">
        <v>338</v>
      </c>
      <c r="B73" s="85" t="s">
        <v>140</v>
      </c>
      <c r="C73" s="85" t="s">
        <v>293</v>
      </c>
      <c r="D73" s="85" t="s">
        <v>294</v>
      </c>
      <c r="E73" s="85" t="s">
        <v>295</v>
      </c>
      <c r="F73" s="91"/>
      <c r="G73" s="85" t="s">
        <v>144</v>
      </c>
      <c r="H73" s="87" t="s">
        <v>145</v>
      </c>
      <c r="I73" s="85" t="s">
        <v>173</v>
      </c>
      <c r="J73" s="80"/>
      <c r="K73" s="90"/>
      <c r="L73" s="83" t="b">
        <v>0</v>
      </c>
      <c r="M73" s="83" t="b">
        <v>1</v>
      </c>
      <c r="N73" s="91"/>
    </row>
    <row r="74">
      <c r="A74" s="79" t="s">
        <v>339</v>
      </c>
      <c r="B74" s="80" t="s">
        <v>140</v>
      </c>
      <c r="C74" s="80" t="s">
        <v>293</v>
      </c>
      <c r="D74" s="80" t="s">
        <v>297</v>
      </c>
      <c r="E74" s="80" t="s">
        <v>298</v>
      </c>
      <c r="F74" s="89"/>
      <c r="G74" s="80" t="s">
        <v>144</v>
      </c>
      <c r="H74" s="88" t="s">
        <v>145</v>
      </c>
      <c r="I74" s="80" t="s">
        <v>173</v>
      </c>
      <c r="J74" s="80"/>
      <c r="K74" s="90"/>
      <c r="L74" s="83" t="b">
        <v>0</v>
      </c>
      <c r="M74" s="83" t="b">
        <v>1</v>
      </c>
      <c r="N74" s="89"/>
    </row>
    <row r="75">
      <c r="A75" s="84" t="s">
        <v>340</v>
      </c>
      <c r="B75" s="85" t="s">
        <v>140</v>
      </c>
      <c r="C75" s="85" t="s">
        <v>293</v>
      </c>
      <c r="D75" s="85" t="s">
        <v>300</v>
      </c>
      <c r="E75" s="85" t="s">
        <v>301</v>
      </c>
      <c r="F75" s="91"/>
      <c r="G75" s="85" t="s">
        <v>144</v>
      </c>
      <c r="H75" s="87" t="s">
        <v>145</v>
      </c>
      <c r="I75" s="85" t="s">
        <v>173</v>
      </c>
      <c r="J75" s="80"/>
      <c r="K75" s="90"/>
      <c r="L75" s="83" t="b">
        <v>0</v>
      </c>
      <c r="M75" s="83" t="b">
        <v>1</v>
      </c>
      <c r="N75" s="91"/>
    </row>
    <row r="76">
      <c r="A76" s="79" t="s">
        <v>341</v>
      </c>
      <c r="B76" s="80" t="s">
        <v>140</v>
      </c>
      <c r="C76" s="80" t="s">
        <v>293</v>
      </c>
      <c r="D76" s="89" t="s">
        <v>303</v>
      </c>
      <c r="E76" s="89" t="s">
        <v>304</v>
      </c>
      <c r="F76" s="89"/>
      <c r="G76" s="80" t="s">
        <v>144</v>
      </c>
      <c r="H76" s="88" t="s">
        <v>145</v>
      </c>
      <c r="I76" s="80" t="s">
        <v>173</v>
      </c>
      <c r="J76" s="80"/>
      <c r="K76" s="90"/>
      <c r="L76" s="83" t="b">
        <v>0</v>
      </c>
      <c r="M76" s="83" t="b">
        <v>1</v>
      </c>
      <c r="N76" s="89"/>
    </row>
    <row r="77">
      <c r="A77" s="84" t="s">
        <v>342</v>
      </c>
      <c r="B77" s="85" t="s">
        <v>140</v>
      </c>
      <c r="C77" s="85" t="s">
        <v>293</v>
      </c>
      <c r="D77" s="91" t="s">
        <v>306</v>
      </c>
      <c r="E77" s="91" t="s">
        <v>307</v>
      </c>
      <c r="F77" s="91"/>
      <c r="G77" s="85" t="s">
        <v>144</v>
      </c>
      <c r="H77" s="87" t="s">
        <v>145</v>
      </c>
      <c r="I77" s="85" t="s">
        <v>173</v>
      </c>
      <c r="J77" s="80"/>
      <c r="K77" s="90"/>
      <c r="L77" s="83" t="b">
        <v>0</v>
      </c>
      <c r="M77" s="83" t="b">
        <v>1</v>
      </c>
      <c r="N77" s="91"/>
    </row>
    <row r="78">
      <c r="A78" s="79" t="s">
        <v>343</v>
      </c>
      <c r="B78" s="80" t="s">
        <v>140</v>
      </c>
      <c r="C78" s="80" t="s">
        <v>293</v>
      </c>
      <c r="D78" s="89" t="s">
        <v>309</v>
      </c>
      <c r="E78" s="89" t="s">
        <v>310</v>
      </c>
      <c r="F78" s="89"/>
      <c r="G78" s="80" t="s">
        <v>144</v>
      </c>
      <c r="H78" s="88" t="s">
        <v>145</v>
      </c>
      <c r="I78" s="80" t="s">
        <v>173</v>
      </c>
      <c r="J78" s="80"/>
      <c r="K78" s="90"/>
      <c r="L78" s="83" t="b">
        <v>0</v>
      </c>
      <c r="M78" s="83" t="b">
        <v>1</v>
      </c>
      <c r="N78" s="89"/>
    </row>
    <row r="79">
      <c r="A79" s="84" t="s">
        <v>344</v>
      </c>
      <c r="B79" s="85" t="s">
        <v>140</v>
      </c>
      <c r="C79" s="85" t="s">
        <v>293</v>
      </c>
      <c r="D79" s="91" t="s">
        <v>312</v>
      </c>
      <c r="E79" s="91" t="s">
        <v>313</v>
      </c>
      <c r="F79" s="91"/>
      <c r="G79" s="85" t="s">
        <v>144</v>
      </c>
      <c r="H79" s="87" t="s">
        <v>145</v>
      </c>
      <c r="I79" s="85" t="s">
        <v>173</v>
      </c>
      <c r="J79" s="80"/>
      <c r="K79" s="90"/>
      <c r="L79" s="83" t="b">
        <v>0</v>
      </c>
      <c r="M79" s="83" t="b">
        <v>1</v>
      </c>
      <c r="N79" s="91"/>
    </row>
    <row r="80">
      <c r="A80" s="79" t="s">
        <v>345</v>
      </c>
      <c r="B80" s="80" t="s">
        <v>140</v>
      </c>
      <c r="C80" s="80" t="s">
        <v>293</v>
      </c>
      <c r="D80" s="89" t="s">
        <v>315</v>
      </c>
      <c r="E80" s="89" t="s">
        <v>316</v>
      </c>
      <c r="F80" s="89"/>
      <c r="G80" s="80" t="s">
        <v>144</v>
      </c>
      <c r="H80" s="88" t="s">
        <v>145</v>
      </c>
      <c r="I80" s="80" t="s">
        <v>173</v>
      </c>
      <c r="J80" s="80"/>
      <c r="K80" s="90"/>
      <c r="L80" s="83" t="b">
        <v>0</v>
      </c>
      <c r="M80" s="83" t="b">
        <v>1</v>
      </c>
      <c r="N80" s="89"/>
    </row>
    <row r="81">
      <c r="A81" s="84" t="s">
        <v>346</v>
      </c>
      <c r="B81" s="85" t="s">
        <v>140</v>
      </c>
      <c r="C81" s="85" t="s">
        <v>293</v>
      </c>
      <c r="D81" s="91" t="s">
        <v>318</v>
      </c>
      <c r="E81" s="91" t="s">
        <v>319</v>
      </c>
      <c r="F81" s="91"/>
      <c r="G81" s="85" t="s">
        <v>144</v>
      </c>
      <c r="H81" s="87" t="s">
        <v>145</v>
      </c>
      <c r="I81" s="85" t="s">
        <v>173</v>
      </c>
      <c r="J81" s="80"/>
      <c r="K81" s="90"/>
      <c r="L81" s="83" t="b">
        <v>0</v>
      </c>
      <c r="M81" s="83" t="b">
        <v>1</v>
      </c>
      <c r="N81" s="91"/>
    </row>
    <row r="82">
      <c r="A82" s="79" t="s">
        <v>347</v>
      </c>
      <c r="B82" s="80" t="s">
        <v>140</v>
      </c>
      <c r="C82" s="80" t="s">
        <v>293</v>
      </c>
      <c r="D82" s="89" t="s">
        <v>321</v>
      </c>
      <c r="E82" s="89" t="s">
        <v>322</v>
      </c>
      <c r="F82" s="89"/>
      <c r="G82" s="80" t="s">
        <v>144</v>
      </c>
      <c r="H82" s="88" t="s">
        <v>145</v>
      </c>
      <c r="I82" s="80" t="s">
        <v>173</v>
      </c>
      <c r="J82" s="80"/>
      <c r="K82" s="90"/>
      <c r="L82" s="83" t="b">
        <v>0</v>
      </c>
      <c r="M82" s="83" t="b">
        <v>1</v>
      </c>
      <c r="N82" s="89"/>
    </row>
    <row r="83">
      <c r="A83" s="84" t="s">
        <v>348</v>
      </c>
      <c r="B83" s="85" t="s">
        <v>140</v>
      </c>
      <c r="C83" s="85" t="s">
        <v>293</v>
      </c>
      <c r="D83" s="91" t="s">
        <v>324</v>
      </c>
      <c r="E83" s="91" t="s">
        <v>325</v>
      </c>
      <c r="F83" s="91"/>
      <c r="G83" s="85" t="s">
        <v>144</v>
      </c>
      <c r="H83" s="87" t="s">
        <v>145</v>
      </c>
      <c r="I83" s="85" t="s">
        <v>173</v>
      </c>
      <c r="J83" s="80"/>
      <c r="K83" s="90"/>
      <c r="L83" s="83" t="b">
        <v>0</v>
      </c>
      <c r="M83" s="83" t="b">
        <v>1</v>
      </c>
      <c r="N83" s="91"/>
    </row>
    <row r="84">
      <c r="A84" s="79" t="s">
        <v>349</v>
      </c>
      <c r="B84" s="80" t="s">
        <v>140</v>
      </c>
      <c r="C84" s="80" t="s">
        <v>293</v>
      </c>
      <c r="D84" s="89" t="s">
        <v>327</v>
      </c>
      <c r="E84" s="89" t="s">
        <v>328</v>
      </c>
      <c r="F84" s="89"/>
      <c r="G84" s="80" t="s">
        <v>144</v>
      </c>
      <c r="H84" s="88" t="s">
        <v>145</v>
      </c>
      <c r="I84" s="80" t="s">
        <v>173</v>
      </c>
      <c r="J84" s="80"/>
      <c r="K84" s="90"/>
      <c r="L84" s="83" t="b">
        <v>0</v>
      </c>
      <c r="M84" s="83" t="b">
        <v>1</v>
      </c>
      <c r="N84" s="89"/>
    </row>
    <row r="85">
      <c r="A85" s="84" t="s">
        <v>350</v>
      </c>
      <c r="B85" s="85" t="s">
        <v>140</v>
      </c>
      <c r="C85" s="85" t="s">
        <v>293</v>
      </c>
      <c r="D85" s="91" t="s">
        <v>330</v>
      </c>
      <c r="E85" s="91" t="s">
        <v>331</v>
      </c>
      <c r="F85" s="91"/>
      <c r="G85" s="85" t="s">
        <v>172</v>
      </c>
      <c r="H85" s="87" t="s">
        <v>145</v>
      </c>
      <c r="I85" s="85" t="s">
        <v>173</v>
      </c>
      <c r="J85" s="80"/>
      <c r="K85" s="90"/>
      <c r="L85" s="83" t="b">
        <v>0</v>
      </c>
      <c r="M85" s="83" t="b">
        <v>1</v>
      </c>
      <c r="N85" s="91"/>
    </row>
    <row r="86">
      <c r="A86" s="79" t="s">
        <v>351</v>
      </c>
      <c r="B86" s="80" t="s">
        <v>140</v>
      </c>
      <c r="C86" s="80" t="s">
        <v>293</v>
      </c>
      <c r="D86" s="89" t="s">
        <v>333</v>
      </c>
      <c r="E86" s="89" t="s">
        <v>334</v>
      </c>
      <c r="F86" s="89"/>
      <c r="G86" s="80" t="s">
        <v>172</v>
      </c>
      <c r="H86" s="88" t="s">
        <v>145</v>
      </c>
      <c r="I86" s="80" t="s">
        <v>173</v>
      </c>
      <c r="J86" s="80"/>
      <c r="K86" s="90"/>
      <c r="L86" s="83" t="b">
        <v>0</v>
      </c>
      <c r="M86" s="83" t="b">
        <v>1</v>
      </c>
      <c r="N86" s="89"/>
    </row>
    <row r="87">
      <c r="A87" s="84" t="s">
        <v>352</v>
      </c>
      <c r="B87" s="85" t="s">
        <v>140</v>
      </c>
      <c r="C87" s="85" t="s">
        <v>293</v>
      </c>
      <c r="D87" s="91" t="s">
        <v>336</v>
      </c>
      <c r="E87" s="91" t="s">
        <v>337</v>
      </c>
      <c r="F87" s="91"/>
      <c r="G87" s="85" t="s">
        <v>172</v>
      </c>
      <c r="H87" s="87" t="s">
        <v>145</v>
      </c>
      <c r="I87" s="85" t="s">
        <v>173</v>
      </c>
      <c r="J87" s="80"/>
      <c r="K87" s="90"/>
      <c r="L87" s="83" t="b">
        <v>0</v>
      </c>
      <c r="M87" s="83" t="b">
        <v>1</v>
      </c>
      <c r="N87" s="91"/>
    </row>
    <row r="88">
      <c r="A88" s="79" t="s">
        <v>353</v>
      </c>
      <c r="B88" s="80" t="s">
        <v>140</v>
      </c>
      <c r="C88" s="80" t="s">
        <v>293</v>
      </c>
      <c r="D88" s="80" t="s">
        <v>294</v>
      </c>
      <c r="E88" s="80" t="s">
        <v>295</v>
      </c>
      <c r="F88" s="89"/>
      <c r="G88" s="80" t="s">
        <v>144</v>
      </c>
      <c r="H88" s="88" t="s">
        <v>145</v>
      </c>
      <c r="I88" s="80" t="s">
        <v>173</v>
      </c>
      <c r="J88" s="80"/>
      <c r="K88" s="90"/>
      <c r="L88" s="83" t="b">
        <v>0</v>
      </c>
      <c r="M88" s="83" t="b">
        <v>1</v>
      </c>
      <c r="N88" s="89"/>
    </row>
    <row r="89">
      <c r="A89" s="84" t="s">
        <v>354</v>
      </c>
      <c r="B89" s="85" t="s">
        <v>140</v>
      </c>
      <c r="C89" s="85" t="s">
        <v>293</v>
      </c>
      <c r="D89" s="85" t="s">
        <v>297</v>
      </c>
      <c r="E89" s="85" t="s">
        <v>298</v>
      </c>
      <c r="F89" s="91"/>
      <c r="G89" s="85" t="s">
        <v>144</v>
      </c>
      <c r="H89" s="87" t="s">
        <v>145</v>
      </c>
      <c r="I89" s="85" t="s">
        <v>173</v>
      </c>
      <c r="J89" s="80"/>
      <c r="K89" s="90"/>
      <c r="L89" s="83" t="b">
        <v>0</v>
      </c>
      <c r="M89" s="83" t="b">
        <v>1</v>
      </c>
      <c r="N89" s="91"/>
    </row>
    <row r="90">
      <c r="A90" s="79" t="s">
        <v>355</v>
      </c>
      <c r="B90" s="80" t="s">
        <v>140</v>
      </c>
      <c r="C90" s="80" t="s">
        <v>293</v>
      </c>
      <c r="D90" s="80" t="s">
        <v>300</v>
      </c>
      <c r="E90" s="80" t="s">
        <v>301</v>
      </c>
      <c r="F90" s="89"/>
      <c r="G90" s="80" t="s">
        <v>144</v>
      </c>
      <c r="H90" s="88" t="s">
        <v>145</v>
      </c>
      <c r="I90" s="80" t="s">
        <v>173</v>
      </c>
      <c r="J90" s="80"/>
      <c r="K90" s="90"/>
      <c r="L90" s="83" t="b">
        <v>0</v>
      </c>
      <c r="M90" s="83" t="b">
        <v>1</v>
      </c>
      <c r="N90" s="89"/>
    </row>
    <row r="91">
      <c r="A91" s="84" t="s">
        <v>356</v>
      </c>
      <c r="B91" s="85" t="s">
        <v>140</v>
      </c>
      <c r="C91" s="85" t="s">
        <v>293</v>
      </c>
      <c r="D91" s="91" t="s">
        <v>303</v>
      </c>
      <c r="E91" s="91" t="s">
        <v>304</v>
      </c>
      <c r="F91" s="91"/>
      <c r="G91" s="85" t="s">
        <v>144</v>
      </c>
      <c r="H91" s="87" t="s">
        <v>145</v>
      </c>
      <c r="I91" s="85" t="s">
        <v>173</v>
      </c>
      <c r="J91" s="80"/>
      <c r="K91" s="90"/>
      <c r="L91" s="83" t="b">
        <v>0</v>
      </c>
      <c r="M91" s="83" t="b">
        <v>1</v>
      </c>
      <c r="N91" s="91"/>
    </row>
    <row r="92">
      <c r="A92" s="79" t="s">
        <v>357</v>
      </c>
      <c r="B92" s="80" t="s">
        <v>140</v>
      </c>
      <c r="C92" s="80" t="s">
        <v>293</v>
      </c>
      <c r="D92" s="89" t="s">
        <v>306</v>
      </c>
      <c r="E92" s="89" t="s">
        <v>307</v>
      </c>
      <c r="F92" s="89"/>
      <c r="G92" s="80" t="s">
        <v>144</v>
      </c>
      <c r="H92" s="88" t="s">
        <v>145</v>
      </c>
      <c r="I92" s="80" t="s">
        <v>173</v>
      </c>
      <c r="J92" s="80"/>
      <c r="K92" s="90"/>
      <c r="L92" s="83" t="b">
        <v>0</v>
      </c>
      <c r="M92" s="83" t="b">
        <v>1</v>
      </c>
      <c r="N92" s="89"/>
    </row>
    <row r="93">
      <c r="A93" s="84" t="s">
        <v>358</v>
      </c>
      <c r="B93" s="85" t="s">
        <v>140</v>
      </c>
      <c r="C93" s="85" t="s">
        <v>293</v>
      </c>
      <c r="D93" s="91" t="s">
        <v>309</v>
      </c>
      <c r="E93" s="91" t="s">
        <v>310</v>
      </c>
      <c r="F93" s="91"/>
      <c r="G93" s="85" t="s">
        <v>144</v>
      </c>
      <c r="H93" s="87" t="s">
        <v>145</v>
      </c>
      <c r="I93" s="85" t="s">
        <v>173</v>
      </c>
      <c r="J93" s="80"/>
      <c r="K93" s="90"/>
      <c r="L93" s="83" t="b">
        <v>0</v>
      </c>
      <c r="M93" s="83" t="b">
        <v>1</v>
      </c>
      <c r="N93" s="91"/>
    </row>
    <row r="94">
      <c r="A94" s="79" t="s">
        <v>359</v>
      </c>
      <c r="B94" s="80" t="s">
        <v>140</v>
      </c>
      <c r="C94" s="80" t="s">
        <v>293</v>
      </c>
      <c r="D94" s="89" t="s">
        <v>312</v>
      </c>
      <c r="E94" s="89" t="s">
        <v>313</v>
      </c>
      <c r="F94" s="89"/>
      <c r="G94" s="80" t="s">
        <v>144</v>
      </c>
      <c r="H94" s="88" t="s">
        <v>145</v>
      </c>
      <c r="I94" s="80" t="s">
        <v>173</v>
      </c>
      <c r="J94" s="80"/>
      <c r="K94" s="90"/>
      <c r="L94" s="83" t="b">
        <v>0</v>
      </c>
      <c r="M94" s="83" t="b">
        <v>1</v>
      </c>
      <c r="N94" s="89"/>
    </row>
    <row r="95">
      <c r="A95" s="84" t="s">
        <v>360</v>
      </c>
      <c r="B95" s="85" t="s">
        <v>140</v>
      </c>
      <c r="C95" s="85" t="s">
        <v>293</v>
      </c>
      <c r="D95" s="91" t="s">
        <v>315</v>
      </c>
      <c r="E95" s="91" t="s">
        <v>316</v>
      </c>
      <c r="F95" s="91"/>
      <c r="G95" s="85" t="s">
        <v>144</v>
      </c>
      <c r="H95" s="87" t="s">
        <v>145</v>
      </c>
      <c r="I95" s="85" t="s">
        <v>173</v>
      </c>
      <c r="J95" s="80"/>
      <c r="K95" s="90"/>
      <c r="L95" s="83" t="b">
        <v>0</v>
      </c>
      <c r="M95" s="83" t="b">
        <v>1</v>
      </c>
      <c r="N95" s="91"/>
    </row>
    <row r="96">
      <c r="A96" s="79" t="s">
        <v>361</v>
      </c>
      <c r="B96" s="80" t="s">
        <v>140</v>
      </c>
      <c r="C96" s="80" t="s">
        <v>293</v>
      </c>
      <c r="D96" s="89" t="s">
        <v>318</v>
      </c>
      <c r="E96" s="89" t="s">
        <v>319</v>
      </c>
      <c r="F96" s="89"/>
      <c r="G96" s="80" t="s">
        <v>144</v>
      </c>
      <c r="H96" s="88" t="s">
        <v>145</v>
      </c>
      <c r="I96" s="80" t="s">
        <v>173</v>
      </c>
      <c r="J96" s="80"/>
      <c r="K96" s="90"/>
      <c r="L96" s="83" t="b">
        <v>0</v>
      </c>
      <c r="M96" s="83" t="b">
        <v>1</v>
      </c>
      <c r="N96" s="89"/>
    </row>
    <row r="97">
      <c r="A97" s="84" t="s">
        <v>362</v>
      </c>
      <c r="B97" s="85" t="s">
        <v>140</v>
      </c>
      <c r="C97" s="85" t="s">
        <v>293</v>
      </c>
      <c r="D97" s="91" t="s">
        <v>321</v>
      </c>
      <c r="E97" s="91" t="s">
        <v>322</v>
      </c>
      <c r="F97" s="91"/>
      <c r="G97" s="85" t="s">
        <v>144</v>
      </c>
      <c r="H97" s="87" t="s">
        <v>145</v>
      </c>
      <c r="I97" s="85" t="s">
        <v>173</v>
      </c>
      <c r="J97" s="80"/>
      <c r="K97" s="90"/>
      <c r="L97" s="83" t="b">
        <v>0</v>
      </c>
      <c r="M97" s="83" t="b">
        <v>1</v>
      </c>
      <c r="N97" s="91"/>
    </row>
    <row r="98">
      <c r="A98" s="79" t="s">
        <v>363</v>
      </c>
      <c r="B98" s="80" t="s">
        <v>140</v>
      </c>
      <c r="C98" s="80" t="s">
        <v>293</v>
      </c>
      <c r="D98" s="89" t="s">
        <v>324</v>
      </c>
      <c r="E98" s="89" t="s">
        <v>325</v>
      </c>
      <c r="F98" s="89"/>
      <c r="G98" s="80" t="s">
        <v>144</v>
      </c>
      <c r="H98" s="88" t="s">
        <v>145</v>
      </c>
      <c r="I98" s="80" t="s">
        <v>173</v>
      </c>
      <c r="J98" s="80"/>
      <c r="K98" s="90"/>
      <c r="L98" s="83" t="b">
        <v>0</v>
      </c>
      <c r="M98" s="83" t="b">
        <v>1</v>
      </c>
      <c r="N98" s="89"/>
    </row>
    <row r="99">
      <c r="A99" s="84" t="s">
        <v>364</v>
      </c>
      <c r="B99" s="85" t="s">
        <v>140</v>
      </c>
      <c r="C99" s="85" t="s">
        <v>293</v>
      </c>
      <c r="D99" s="91" t="s">
        <v>327</v>
      </c>
      <c r="E99" s="91" t="s">
        <v>328</v>
      </c>
      <c r="F99" s="91"/>
      <c r="G99" s="85" t="s">
        <v>144</v>
      </c>
      <c r="H99" s="87" t="s">
        <v>145</v>
      </c>
      <c r="I99" s="85" t="s">
        <v>173</v>
      </c>
      <c r="J99" s="80"/>
      <c r="K99" s="90"/>
      <c r="L99" s="83" t="b">
        <v>0</v>
      </c>
      <c r="M99" s="83" t="b">
        <v>1</v>
      </c>
      <c r="N99" s="91"/>
    </row>
    <row r="100">
      <c r="A100" s="79" t="s">
        <v>365</v>
      </c>
      <c r="B100" s="80" t="s">
        <v>140</v>
      </c>
      <c r="C100" s="80" t="s">
        <v>293</v>
      </c>
      <c r="D100" s="89" t="s">
        <v>330</v>
      </c>
      <c r="E100" s="89" t="s">
        <v>331</v>
      </c>
      <c r="F100" s="89"/>
      <c r="G100" s="80" t="s">
        <v>172</v>
      </c>
      <c r="H100" s="88" t="s">
        <v>145</v>
      </c>
      <c r="I100" s="80" t="s">
        <v>173</v>
      </c>
      <c r="J100" s="80"/>
      <c r="K100" s="90"/>
      <c r="L100" s="83" t="b">
        <v>0</v>
      </c>
      <c r="M100" s="83" t="b">
        <v>1</v>
      </c>
      <c r="N100" s="89"/>
    </row>
    <row r="101">
      <c r="A101" s="84" t="s">
        <v>366</v>
      </c>
      <c r="B101" s="85" t="s">
        <v>140</v>
      </c>
      <c r="C101" s="85" t="s">
        <v>293</v>
      </c>
      <c r="D101" s="91" t="s">
        <v>333</v>
      </c>
      <c r="E101" s="91" t="s">
        <v>334</v>
      </c>
      <c r="F101" s="91"/>
      <c r="G101" s="85" t="s">
        <v>172</v>
      </c>
      <c r="H101" s="87" t="s">
        <v>145</v>
      </c>
      <c r="I101" s="85" t="s">
        <v>173</v>
      </c>
      <c r="J101" s="80"/>
      <c r="K101" s="90"/>
      <c r="L101" s="83" t="b">
        <v>0</v>
      </c>
      <c r="M101" s="83" t="b">
        <v>1</v>
      </c>
      <c r="N101" s="91"/>
    </row>
    <row r="102">
      <c r="A102" s="79" t="s">
        <v>367</v>
      </c>
      <c r="B102" s="80" t="s">
        <v>140</v>
      </c>
      <c r="C102" s="80" t="s">
        <v>293</v>
      </c>
      <c r="D102" s="89" t="s">
        <v>336</v>
      </c>
      <c r="E102" s="89" t="s">
        <v>337</v>
      </c>
      <c r="F102" s="89"/>
      <c r="G102" s="80" t="s">
        <v>172</v>
      </c>
      <c r="H102" s="88" t="s">
        <v>145</v>
      </c>
      <c r="I102" s="80" t="s">
        <v>173</v>
      </c>
      <c r="J102" s="80"/>
      <c r="K102" s="90"/>
      <c r="L102" s="83" t="b">
        <v>0</v>
      </c>
      <c r="M102" s="83" t="b">
        <v>1</v>
      </c>
      <c r="N102" s="89"/>
    </row>
    <row r="103">
      <c r="A103" s="84" t="s">
        <v>368</v>
      </c>
      <c r="B103" s="85" t="s">
        <v>140</v>
      </c>
      <c r="C103" s="85" t="s">
        <v>369</v>
      </c>
      <c r="D103" s="91" t="s">
        <v>370</v>
      </c>
      <c r="E103" s="91" t="s">
        <v>371</v>
      </c>
      <c r="F103" s="91"/>
      <c r="G103" s="85" t="s">
        <v>144</v>
      </c>
      <c r="H103" s="87" t="s">
        <v>145</v>
      </c>
      <c r="I103" s="85" t="s">
        <v>173</v>
      </c>
      <c r="J103" s="80"/>
      <c r="K103" s="90"/>
      <c r="L103" s="83" t="b">
        <v>0</v>
      </c>
      <c r="M103" s="83" t="b">
        <v>1</v>
      </c>
      <c r="N103" s="91"/>
    </row>
    <row r="104">
      <c r="A104" s="79" t="s">
        <v>372</v>
      </c>
      <c r="B104" s="80" t="s">
        <v>140</v>
      </c>
      <c r="C104" s="80" t="s">
        <v>369</v>
      </c>
      <c r="D104" s="89" t="s">
        <v>373</v>
      </c>
      <c r="E104" s="89" t="s">
        <v>374</v>
      </c>
      <c r="F104" s="89"/>
      <c r="G104" s="80" t="s">
        <v>144</v>
      </c>
      <c r="H104" s="88" t="s">
        <v>145</v>
      </c>
      <c r="I104" s="80" t="s">
        <v>173</v>
      </c>
      <c r="J104" s="80"/>
      <c r="K104" s="90"/>
      <c r="L104" s="83" t="b">
        <v>0</v>
      </c>
      <c r="M104" s="83" t="b">
        <v>1</v>
      </c>
      <c r="N104" s="89"/>
    </row>
    <row r="105">
      <c r="A105" s="84" t="s">
        <v>375</v>
      </c>
      <c r="B105" s="85" t="s">
        <v>140</v>
      </c>
      <c r="C105" s="85" t="s">
        <v>369</v>
      </c>
      <c r="D105" s="91" t="s">
        <v>376</v>
      </c>
      <c r="E105" s="91" t="s">
        <v>377</v>
      </c>
      <c r="F105" s="91"/>
      <c r="G105" s="85" t="s">
        <v>144</v>
      </c>
      <c r="H105" s="87" t="s">
        <v>145</v>
      </c>
      <c r="I105" s="85" t="s">
        <v>173</v>
      </c>
      <c r="J105" s="80"/>
      <c r="K105" s="90"/>
      <c r="L105" s="83" t="b">
        <v>0</v>
      </c>
      <c r="M105" s="83" t="b">
        <v>1</v>
      </c>
      <c r="N105" s="91"/>
    </row>
    <row r="106">
      <c r="A106" s="79" t="s">
        <v>378</v>
      </c>
      <c r="B106" s="80" t="s">
        <v>140</v>
      </c>
      <c r="C106" s="80" t="s">
        <v>369</v>
      </c>
      <c r="D106" s="89" t="s">
        <v>379</v>
      </c>
      <c r="E106" s="89" t="s">
        <v>380</v>
      </c>
      <c r="F106" s="89"/>
      <c r="G106" s="80" t="s">
        <v>172</v>
      </c>
      <c r="H106" s="88" t="s">
        <v>145</v>
      </c>
      <c r="I106" s="80" t="s">
        <v>173</v>
      </c>
      <c r="J106" s="80"/>
      <c r="K106" s="90"/>
      <c r="L106" s="83" t="b">
        <v>0</v>
      </c>
      <c r="M106" s="83" t="b">
        <v>1</v>
      </c>
      <c r="N106" s="89"/>
    </row>
    <row r="107">
      <c r="A107" s="84" t="s">
        <v>381</v>
      </c>
      <c r="B107" s="85" t="s">
        <v>140</v>
      </c>
      <c r="C107" s="85" t="s">
        <v>369</v>
      </c>
      <c r="D107" s="91" t="s">
        <v>382</v>
      </c>
      <c r="E107" s="91" t="s">
        <v>383</v>
      </c>
      <c r="F107" s="91"/>
      <c r="G107" s="85" t="s">
        <v>172</v>
      </c>
      <c r="H107" s="87" t="s">
        <v>145</v>
      </c>
      <c r="I107" s="85" t="s">
        <v>173</v>
      </c>
      <c r="J107" s="80"/>
      <c r="K107" s="90"/>
      <c r="L107" s="83" t="b">
        <v>0</v>
      </c>
      <c r="M107" s="83" t="b">
        <v>1</v>
      </c>
      <c r="N107" s="91"/>
    </row>
    <row r="108">
      <c r="A108" s="79" t="s">
        <v>384</v>
      </c>
      <c r="B108" s="80" t="s">
        <v>140</v>
      </c>
      <c r="C108" s="80" t="s">
        <v>369</v>
      </c>
      <c r="D108" s="89" t="s">
        <v>385</v>
      </c>
      <c r="E108" s="89" t="s">
        <v>386</v>
      </c>
      <c r="F108" s="89"/>
      <c r="G108" s="80" t="s">
        <v>172</v>
      </c>
      <c r="H108" s="88" t="s">
        <v>145</v>
      </c>
      <c r="I108" s="80" t="s">
        <v>173</v>
      </c>
      <c r="J108" s="80"/>
      <c r="K108" s="90"/>
      <c r="L108" s="83" t="b">
        <v>0</v>
      </c>
      <c r="M108" s="83" t="b">
        <v>1</v>
      </c>
      <c r="N108" s="89"/>
    </row>
    <row r="109">
      <c r="A109" s="84" t="s">
        <v>387</v>
      </c>
      <c r="B109" s="85" t="s">
        <v>140</v>
      </c>
      <c r="C109" s="85" t="s">
        <v>369</v>
      </c>
      <c r="D109" s="91" t="s">
        <v>388</v>
      </c>
      <c r="E109" s="91" t="s">
        <v>389</v>
      </c>
      <c r="F109" s="91"/>
      <c r="G109" s="85" t="s">
        <v>172</v>
      </c>
      <c r="H109" s="87" t="s">
        <v>145</v>
      </c>
      <c r="I109" s="85" t="s">
        <v>173</v>
      </c>
      <c r="J109" s="80"/>
      <c r="K109" s="90"/>
      <c r="L109" s="83" t="b">
        <v>0</v>
      </c>
      <c r="M109" s="83" t="b">
        <v>1</v>
      </c>
      <c r="N109" s="91"/>
    </row>
    <row r="110">
      <c r="A110" s="79" t="s">
        <v>390</v>
      </c>
      <c r="B110" s="80" t="s">
        <v>140</v>
      </c>
      <c r="C110" s="80" t="s">
        <v>369</v>
      </c>
      <c r="D110" s="89" t="s">
        <v>391</v>
      </c>
      <c r="E110" s="89" t="s">
        <v>392</v>
      </c>
      <c r="F110" s="89"/>
      <c r="G110" s="80" t="s">
        <v>172</v>
      </c>
      <c r="H110" s="88" t="s">
        <v>145</v>
      </c>
      <c r="I110" s="80" t="s">
        <v>173</v>
      </c>
      <c r="J110" s="80"/>
      <c r="K110" s="90"/>
      <c r="L110" s="83" t="b">
        <v>0</v>
      </c>
      <c r="M110" s="83" t="b">
        <v>1</v>
      </c>
      <c r="N110" s="89"/>
    </row>
    <row r="111">
      <c r="A111" s="84" t="s">
        <v>393</v>
      </c>
      <c r="B111" s="85" t="s">
        <v>140</v>
      </c>
      <c r="C111" s="85" t="s">
        <v>369</v>
      </c>
      <c r="D111" s="91" t="s">
        <v>394</v>
      </c>
      <c r="E111" s="91" t="s">
        <v>395</v>
      </c>
      <c r="F111" s="91"/>
      <c r="G111" s="85" t="s">
        <v>172</v>
      </c>
      <c r="H111" s="87" t="s">
        <v>145</v>
      </c>
      <c r="I111" s="85" t="s">
        <v>173</v>
      </c>
      <c r="J111" s="80"/>
      <c r="K111" s="90"/>
      <c r="L111" s="83" t="b">
        <v>0</v>
      </c>
      <c r="M111" s="83" t="b">
        <v>1</v>
      </c>
      <c r="N111" s="91"/>
    </row>
    <row r="112">
      <c r="A112" s="79" t="s">
        <v>396</v>
      </c>
      <c r="B112" s="80" t="s">
        <v>140</v>
      </c>
      <c r="C112" s="80" t="s">
        <v>369</v>
      </c>
      <c r="D112" s="89" t="s">
        <v>370</v>
      </c>
      <c r="E112" s="89" t="s">
        <v>371</v>
      </c>
      <c r="F112" s="89"/>
      <c r="G112" s="80" t="s">
        <v>144</v>
      </c>
      <c r="H112" s="88" t="s">
        <v>145</v>
      </c>
      <c r="I112" s="80" t="s">
        <v>173</v>
      </c>
      <c r="J112" s="80"/>
      <c r="K112" s="90"/>
      <c r="L112" s="83" t="b">
        <v>0</v>
      </c>
      <c r="M112" s="83" t="b">
        <v>1</v>
      </c>
      <c r="N112" s="89"/>
    </row>
    <row r="113">
      <c r="A113" s="84" t="s">
        <v>397</v>
      </c>
      <c r="B113" s="85" t="s">
        <v>140</v>
      </c>
      <c r="C113" s="85" t="s">
        <v>369</v>
      </c>
      <c r="D113" s="91" t="s">
        <v>373</v>
      </c>
      <c r="E113" s="91" t="s">
        <v>374</v>
      </c>
      <c r="F113" s="91"/>
      <c r="G113" s="85" t="s">
        <v>144</v>
      </c>
      <c r="H113" s="87" t="s">
        <v>145</v>
      </c>
      <c r="I113" s="85" t="s">
        <v>173</v>
      </c>
      <c r="J113" s="80"/>
      <c r="K113" s="90"/>
      <c r="L113" s="83" t="b">
        <v>0</v>
      </c>
      <c r="M113" s="83" t="b">
        <v>1</v>
      </c>
      <c r="N113" s="91"/>
    </row>
    <row r="114">
      <c r="A114" s="79" t="s">
        <v>398</v>
      </c>
      <c r="B114" s="80" t="s">
        <v>140</v>
      </c>
      <c r="C114" s="80" t="s">
        <v>369</v>
      </c>
      <c r="D114" s="89" t="s">
        <v>376</v>
      </c>
      <c r="E114" s="89" t="s">
        <v>377</v>
      </c>
      <c r="F114" s="89"/>
      <c r="G114" s="80" t="s">
        <v>144</v>
      </c>
      <c r="H114" s="88" t="s">
        <v>145</v>
      </c>
      <c r="I114" s="80" t="s">
        <v>173</v>
      </c>
      <c r="J114" s="80"/>
      <c r="K114" s="90"/>
      <c r="L114" s="83" t="b">
        <v>0</v>
      </c>
      <c r="M114" s="83" t="b">
        <v>1</v>
      </c>
      <c r="N114" s="89"/>
    </row>
    <row r="115">
      <c r="A115" s="84" t="s">
        <v>399</v>
      </c>
      <c r="B115" s="85" t="s">
        <v>140</v>
      </c>
      <c r="C115" s="85" t="s">
        <v>369</v>
      </c>
      <c r="D115" s="91" t="s">
        <v>379</v>
      </c>
      <c r="E115" s="91" t="s">
        <v>380</v>
      </c>
      <c r="F115" s="91"/>
      <c r="G115" s="85" t="s">
        <v>172</v>
      </c>
      <c r="H115" s="87" t="s">
        <v>145</v>
      </c>
      <c r="I115" s="85" t="s">
        <v>173</v>
      </c>
      <c r="J115" s="80"/>
      <c r="K115" s="90"/>
      <c r="L115" s="83" t="b">
        <v>0</v>
      </c>
      <c r="M115" s="83" t="b">
        <v>1</v>
      </c>
      <c r="N115" s="91"/>
    </row>
    <row r="116">
      <c r="A116" s="79" t="s">
        <v>400</v>
      </c>
      <c r="B116" s="80" t="s">
        <v>140</v>
      </c>
      <c r="C116" s="80" t="s">
        <v>369</v>
      </c>
      <c r="D116" s="89" t="s">
        <v>382</v>
      </c>
      <c r="E116" s="89" t="s">
        <v>383</v>
      </c>
      <c r="F116" s="89"/>
      <c r="G116" s="80" t="s">
        <v>172</v>
      </c>
      <c r="H116" s="88" t="s">
        <v>145</v>
      </c>
      <c r="I116" s="80" t="s">
        <v>173</v>
      </c>
      <c r="J116" s="80"/>
      <c r="K116" s="90"/>
      <c r="L116" s="83" t="b">
        <v>0</v>
      </c>
      <c r="M116" s="83" t="b">
        <v>1</v>
      </c>
      <c r="N116" s="89"/>
    </row>
    <row r="117" ht="15.75" customHeight="1">
      <c r="A117" s="84" t="s">
        <v>401</v>
      </c>
      <c r="B117" s="85" t="s">
        <v>140</v>
      </c>
      <c r="C117" s="85" t="s">
        <v>369</v>
      </c>
      <c r="D117" s="91" t="s">
        <v>385</v>
      </c>
      <c r="E117" s="91" t="s">
        <v>386</v>
      </c>
      <c r="F117" s="91"/>
      <c r="G117" s="85" t="s">
        <v>172</v>
      </c>
      <c r="H117" s="87" t="s">
        <v>145</v>
      </c>
      <c r="I117" s="85" t="s">
        <v>173</v>
      </c>
      <c r="J117" s="80"/>
      <c r="K117" s="90"/>
      <c r="L117" s="83" t="b">
        <v>0</v>
      </c>
      <c r="M117" s="83" t="b">
        <v>1</v>
      </c>
      <c r="N117" s="91"/>
    </row>
    <row r="118" ht="15.75" customHeight="1">
      <c r="A118" s="79" t="s">
        <v>402</v>
      </c>
      <c r="B118" s="80" t="s">
        <v>140</v>
      </c>
      <c r="C118" s="80" t="s">
        <v>369</v>
      </c>
      <c r="D118" s="89" t="s">
        <v>388</v>
      </c>
      <c r="E118" s="89" t="s">
        <v>389</v>
      </c>
      <c r="F118" s="89"/>
      <c r="G118" s="80" t="s">
        <v>172</v>
      </c>
      <c r="H118" s="88" t="s">
        <v>145</v>
      </c>
      <c r="I118" s="80" t="s">
        <v>173</v>
      </c>
      <c r="J118" s="80"/>
      <c r="K118" s="90"/>
      <c r="L118" s="83" t="b">
        <v>0</v>
      </c>
      <c r="M118" s="83" t="b">
        <v>1</v>
      </c>
      <c r="N118" s="89"/>
    </row>
    <row r="119" ht="13.5" customHeight="1">
      <c r="A119" s="84" t="s">
        <v>403</v>
      </c>
      <c r="B119" s="85" t="s">
        <v>140</v>
      </c>
      <c r="C119" s="85" t="s">
        <v>369</v>
      </c>
      <c r="D119" s="91" t="s">
        <v>391</v>
      </c>
      <c r="E119" s="91" t="s">
        <v>392</v>
      </c>
      <c r="F119" s="91"/>
      <c r="G119" s="85" t="s">
        <v>172</v>
      </c>
      <c r="H119" s="87" t="s">
        <v>145</v>
      </c>
      <c r="I119" s="85" t="s">
        <v>173</v>
      </c>
      <c r="J119" s="80"/>
      <c r="K119" s="90"/>
      <c r="L119" s="83" t="b">
        <v>0</v>
      </c>
      <c r="M119" s="83" t="b">
        <v>1</v>
      </c>
      <c r="N119" s="91"/>
    </row>
    <row r="120">
      <c r="A120" s="79" t="s">
        <v>404</v>
      </c>
      <c r="B120" s="80" t="s">
        <v>140</v>
      </c>
      <c r="C120" s="80" t="s">
        <v>369</v>
      </c>
      <c r="D120" s="89" t="s">
        <v>394</v>
      </c>
      <c r="E120" s="89" t="s">
        <v>395</v>
      </c>
      <c r="F120" s="89"/>
      <c r="G120" s="80" t="s">
        <v>172</v>
      </c>
      <c r="H120" s="88" t="s">
        <v>145</v>
      </c>
      <c r="I120" s="80" t="s">
        <v>173</v>
      </c>
      <c r="J120" s="80"/>
      <c r="K120" s="90"/>
      <c r="L120" s="83" t="b">
        <v>0</v>
      </c>
      <c r="M120" s="83" t="b">
        <v>1</v>
      </c>
      <c r="N120" s="89"/>
    </row>
    <row r="121">
      <c r="A121" s="84" t="s">
        <v>405</v>
      </c>
      <c r="B121" s="85" t="s">
        <v>140</v>
      </c>
      <c r="C121" s="85" t="s">
        <v>369</v>
      </c>
      <c r="D121" s="91" t="s">
        <v>370</v>
      </c>
      <c r="E121" s="91" t="s">
        <v>371</v>
      </c>
      <c r="F121" s="91"/>
      <c r="G121" s="85" t="s">
        <v>144</v>
      </c>
      <c r="H121" s="87" t="s">
        <v>145</v>
      </c>
      <c r="I121" s="85" t="s">
        <v>173</v>
      </c>
      <c r="J121" s="80"/>
      <c r="K121" s="90"/>
      <c r="L121" s="83" t="b">
        <v>0</v>
      </c>
      <c r="M121" s="83" t="b">
        <v>1</v>
      </c>
      <c r="N121" s="91"/>
    </row>
    <row r="122">
      <c r="A122" s="79" t="s">
        <v>406</v>
      </c>
      <c r="B122" s="80" t="s">
        <v>140</v>
      </c>
      <c r="C122" s="80" t="s">
        <v>369</v>
      </c>
      <c r="D122" s="89" t="s">
        <v>373</v>
      </c>
      <c r="E122" s="89" t="s">
        <v>374</v>
      </c>
      <c r="F122" s="89"/>
      <c r="G122" s="80" t="s">
        <v>144</v>
      </c>
      <c r="H122" s="88" t="s">
        <v>145</v>
      </c>
      <c r="I122" s="80" t="s">
        <v>173</v>
      </c>
      <c r="J122" s="80"/>
      <c r="K122" s="90"/>
      <c r="L122" s="83" t="b">
        <v>0</v>
      </c>
      <c r="M122" s="83" t="b">
        <v>1</v>
      </c>
      <c r="N122" s="89"/>
    </row>
    <row r="123">
      <c r="A123" s="84" t="s">
        <v>407</v>
      </c>
      <c r="B123" s="85" t="s">
        <v>140</v>
      </c>
      <c r="C123" s="85" t="s">
        <v>369</v>
      </c>
      <c r="D123" s="91" t="s">
        <v>376</v>
      </c>
      <c r="E123" s="91" t="s">
        <v>377</v>
      </c>
      <c r="F123" s="91"/>
      <c r="G123" s="85" t="s">
        <v>144</v>
      </c>
      <c r="H123" s="87" t="s">
        <v>145</v>
      </c>
      <c r="I123" s="85" t="s">
        <v>173</v>
      </c>
      <c r="J123" s="80"/>
      <c r="K123" s="90"/>
      <c r="L123" s="83" t="b">
        <v>0</v>
      </c>
      <c r="M123" s="83" t="b">
        <v>1</v>
      </c>
      <c r="N123" s="91"/>
    </row>
    <row r="124">
      <c r="A124" s="79" t="s">
        <v>408</v>
      </c>
      <c r="B124" s="80" t="s">
        <v>140</v>
      </c>
      <c r="C124" s="80" t="s">
        <v>369</v>
      </c>
      <c r="D124" s="89" t="s">
        <v>379</v>
      </c>
      <c r="E124" s="89" t="s">
        <v>380</v>
      </c>
      <c r="F124" s="89"/>
      <c r="G124" s="80" t="s">
        <v>172</v>
      </c>
      <c r="H124" s="88" t="s">
        <v>145</v>
      </c>
      <c r="I124" s="80" t="s">
        <v>173</v>
      </c>
      <c r="J124" s="80"/>
      <c r="K124" s="90"/>
      <c r="L124" s="83" t="b">
        <v>0</v>
      </c>
      <c r="M124" s="83" t="b">
        <v>1</v>
      </c>
      <c r="N124" s="89"/>
    </row>
    <row r="125">
      <c r="A125" s="84" t="s">
        <v>409</v>
      </c>
      <c r="B125" s="85" t="s">
        <v>140</v>
      </c>
      <c r="C125" s="85" t="s">
        <v>369</v>
      </c>
      <c r="D125" s="91" t="s">
        <v>382</v>
      </c>
      <c r="E125" s="91" t="s">
        <v>383</v>
      </c>
      <c r="F125" s="91"/>
      <c r="G125" s="85" t="s">
        <v>172</v>
      </c>
      <c r="H125" s="87" t="s">
        <v>145</v>
      </c>
      <c r="I125" s="85" t="s">
        <v>173</v>
      </c>
      <c r="J125" s="80"/>
      <c r="K125" s="90"/>
      <c r="L125" s="83" t="b">
        <v>0</v>
      </c>
      <c r="M125" s="83" t="b">
        <v>1</v>
      </c>
      <c r="N125" s="91"/>
    </row>
    <row r="126">
      <c r="A126" s="79" t="s">
        <v>410</v>
      </c>
      <c r="B126" s="80" t="s">
        <v>140</v>
      </c>
      <c r="C126" s="80" t="s">
        <v>369</v>
      </c>
      <c r="D126" s="89" t="s">
        <v>385</v>
      </c>
      <c r="E126" s="89" t="s">
        <v>386</v>
      </c>
      <c r="F126" s="89"/>
      <c r="G126" s="80" t="s">
        <v>172</v>
      </c>
      <c r="H126" s="88" t="s">
        <v>145</v>
      </c>
      <c r="I126" s="80" t="s">
        <v>173</v>
      </c>
      <c r="J126" s="80"/>
      <c r="K126" s="90"/>
      <c r="L126" s="83" t="b">
        <v>0</v>
      </c>
      <c r="M126" s="83" t="b">
        <v>1</v>
      </c>
      <c r="N126" s="89"/>
    </row>
    <row r="127">
      <c r="A127" s="84" t="s">
        <v>411</v>
      </c>
      <c r="B127" s="85" t="s">
        <v>140</v>
      </c>
      <c r="C127" s="85" t="s">
        <v>369</v>
      </c>
      <c r="D127" s="91" t="s">
        <v>388</v>
      </c>
      <c r="E127" s="91" t="s">
        <v>389</v>
      </c>
      <c r="F127" s="91"/>
      <c r="G127" s="85" t="s">
        <v>172</v>
      </c>
      <c r="H127" s="87" t="s">
        <v>145</v>
      </c>
      <c r="I127" s="85" t="s">
        <v>173</v>
      </c>
      <c r="J127" s="80"/>
      <c r="K127" s="90"/>
      <c r="L127" s="83" t="b">
        <v>0</v>
      </c>
      <c r="M127" s="83" t="b">
        <v>1</v>
      </c>
      <c r="N127" s="91"/>
    </row>
    <row r="128">
      <c r="A128" s="79" t="s">
        <v>412</v>
      </c>
      <c r="B128" s="80" t="s">
        <v>140</v>
      </c>
      <c r="C128" s="80" t="s">
        <v>369</v>
      </c>
      <c r="D128" s="89" t="s">
        <v>391</v>
      </c>
      <c r="E128" s="89" t="s">
        <v>392</v>
      </c>
      <c r="F128" s="89"/>
      <c r="G128" s="80" t="s">
        <v>172</v>
      </c>
      <c r="H128" s="88" t="s">
        <v>145</v>
      </c>
      <c r="I128" s="80" t="s">
        <v>173</v>
      </c>
      <c r="J128" s="80"/>
      <c r="K128" s="90"/>
      <c r="L128" s="83" t="b">
        <v>0</v>
      </c>
      <c r="M128" s="83" t="b">
        <v>1</v>
      </c>
      <c r="N128" s="89"/>
    </row>
    <row r="129">
      <c r="A129" s="84" t="s">
        <v>413</v>
      </c>
      <c r="B129" s="85" t="s">
        <v>140</v>
      </c>
      <c r="C129" s="85" t="s">
        <v>369</v>
      </c>
      <c r="D129" s="91" t="s">
        <v>394</v>
      </c>
      <c r="E129" s="91" t="s">
        <v>395</v>
      </c>
      <c r="F129" s="91"/>
      <c r="G129" s="85" t="s">
        <v>172</v>
      </c>
      <c r="H129" s="87" t="s">
        <v>145</v>
      </c>
      <c r="I129" s="85" t="s">
        <v>173</v>
      </c>
      <c r="J129" s="80"/>
      <c r="K129" s="90"/>
      <c r="L129" s="83" t="b">
        <v>0</v>
      </c>
      <c r="M129" s="83" t="b">
        <v>1</v>
      </c>
      <c r="N129" s="91"/>
    </row>
    <row r="130" ht="15.75" customHeight="1">
      <c r="A130" s="79" t="s">
        <v>414</v>
      </c>
      <c r="B130" s="80" t="s">
        <v>140</v>
      </c>
      <c r="C130" s="85" t="s">
        <v>415</v>
      </c>
      <c r="D130" s="91" t="s">
        <v>416</v>
      </c>
      <c r="E130" s="91" t="s">
        <v>417</v>
      </c>
      <c r="F130" s="89"/>
      <c r="G130" s="80" t="s">
        <v>144</v>
      </c>
      <c r="H130" s="88" t="s">
        <v>145</v>
      </c>
      <c r="I130" s="80" t="s">
        <v>173</v>
      </c>
      <c r="J130" s="83" t="s">
        <v>418</v>
      </c>
      <c r="K130" s="93" t="s">
        <v>419</v>
      </c>
      <c r="L130" s="83" t="b">
        <v>0</v>
      </c>
      <c r="M130" s="83" t="b">
        <v>1</v>
      </c>
      <c r="N130" s="94" t="s">
        <v>420</v>
      </c>
    </row>
    <row r="131" ht="15.75" customHeight="1">
      <c r="A131" s="79" t="s">
        <v>421</v>
      </c>
      <c r="B131" s="85" t="s">
        <v>140</v>
      </c>
      <c r="C131" s="85" t="s">
        <v>415</v>
      </c>
      <c r="D131" s="91" t="s">
        <v>422</v>
      </c>
      <c r="E131" s="91" t="s">
        <v>423</v>
      </c>
      <c r="F131" s="91"/>
      <c r="G131" s="85" t="s">
        <v>144</v>
      </c>
      <c r="H131" s="87" t="s">
        <v>145</v>
      </c>
      <c r="I131" s="85" t="s">
        <v>173</v>
      </c>
      <c r="J131" s="83" t="s">
        <v>418</v>
      </c>
      <c r="K131" s="93" t="s">
        <v>419</v>
      </c>
      <c r="L131" s="83" t="b">
        <v>0</v>
      </c>
      <c r="M131" s="83" t="b">
        <v>1</v>
      </c>
      <c r="N131" s="94" t="s">
        <v>424</v>
      </c>
    </row>
    <row r="132" ht="15.75" customHeight="1">
      <c r="A132" s="79" t="s">
        <v>425</v>
      </c>
      <c r="B132" s="80" t="s">
        <v>140</v>
      </c>
      <c r="C132" s="85" t="s">
        <v>415</v>
      </c>
      <c r="D132" s="91" t="s">
        <v>426</v>
      </c>
      <c r="E132" s="91" t="s">
        <v>427</v>
      </c>
      <c r="F132" s="89"/>
      <c r="G132" s="80" t="s">
        <v>144</v>
      </c>
      <c r="H132" s="88" t="s">
        <v>145</v>
      </c>
      <c r="I132" s="80" t="s">
        <v>173</v>
      </c>
      <c r="J132" s="83" t="s">
        <v>418</v>
      </c>
      <c r="K132" s="93" t="s">
        <v>419</v>
      </c>
      <c r="L132" s="83" t="b">
        <v>0</v>
      </c>
      <c r="M132" s="83" t="b">
        <v>1</v>
      </c>
      <c r="N132" s="94" t="s">
        <v>424</v>
      </c>
    </row>
    <row r="133" ht="15.75" customHeight="1">
      <c r="A133" s="79" t="s">
        <v>428</v>
      </c>
      <c r="B133" s="85" t="s">
        <v>140</v>
      </c>
      <c r="C133" s="85" t="s">
        <v>415</v>
      </c>
      <c r="D133" s="91" t="s">
        <v>429</v>
      </c>
      <c r="E133" s="91" t="s">
        <v>430</v>
      </c>
      <c r="F133" s="91"/>
      <c r="G133" s="85" t="s">
        <v>172</v>
      </c>
      <c r="H133" s="87" t="s">
        <v>145</v>
      </c>
      <c r="I133" s="85" t="s">
        <v>173</v>
      </c>
      <c r="J133" s="83" t="s">
        <v>418</v>
      </c>
      <c r="K133" s="93" t="s">
        <v>419</v>
      </c>
      <c r="L133" s="83" t="b">
        <v>0</v>
      </c>
      <c r="M133" s="83" t="b">
        <v>1</v>
      </c>
      <c r="N133" s="94" t="s">
        <v>424</v>
      </c>
    </row>
    <row r="134" ht="15.75" customHeight="1">
      <c r="A134" s="79" t="s">
        <v>431</v>
      </c>
      <c r="B134" s="80" t="s">
        <v>140</v>
      </c>
      <c r="C134" s="85" t="s">
        <v>415</v>
      </c>
      <c r="D134" s="91" t="s">
        <v>416</v>
      </c>
      <c r="E134" s="91" t="s">
        <v>417</v>
      </c>
      <c r="F134" s="89"/>
      <c r="G134" s="80" t="s">
        <v>172</v>
      </c>
      <c r="H134" s="88" t="s">
        <v>145</v>
      </c>
      <c r="I134" s="80" t="s">
        <v>173</v>
      </c>
      <c r="J134" s="83" t="s">
        <v>418</v>
      </c>
      <c r="K134" s="93" t="s">
        <v>419</v>
      </c>
      <c r="L134" s="83" t="b">
        <v>0</v>
      </c>
      <c r="M134" s="83" t="b">
        <v>1</v>
      </c>
      <c r="N134" s="94" t="s">
        <v>424</v>
      </c>
    </row>
    <row r="135" ht="15.75" customHeight="1">
      <c r="A135" s="79" t="s">
        <v>432</v>
      </c>
      <c r="B135" s="85" t="s">
        <v>140</v>
      </c>
      <c r="C135" s="85" t="s">
        <v>415</v>
      </c>
      <c r="D135" s="91" t="s">
        <v>422</v>
      </c>
      <c r="E135" s="91" t="s">
        <v>423</v>
      </c>
      <c r="F135" s="91"/>
      <c r="G135" s="85" t="s">
        <v>144</v>
      </c>
      <c r="H135" s="87" t="s">
        <v>145</v>
      </c>
      <c r="I135" s="85" t="s">
        <v>173</v>
      </c>
      <c r="J135" s="83" t="s">
        <v>418</v>
      </c>
      <c r="K135" s="93" t="s">
        <v>419</v>
      </c>
      <c r="L135" s="83" t="b">
        <v>0</v>
      </c>
      <c r="M135" s="83" t="b">
        <v>1</v>
      </c>
      <c r="N135" s="94" t="s">
        <v>424</v>
      </c>
    </row>
    <row r="136" ht="15.75" customHeight="1">
      <c r="A136" s="79" t="s">
        <v>433</v>
      </c>
      <c r="B136" s="80" t="s">
        <v>140</v>
      </c>
      <c r="C136" s="85" t="s">
        <v>415</v>
      </c>
      <c r="D136" s="91" t="s">
        <v>426</v>
      </c>
      <c r="E136" s="91" t="s">
        <v>427</v>
      </c>
      <c r="F136" s="89"/>
      <c r="G136" s="80" t="s">
        <v>144</v>
      </c>
      <c r="H136" s="88" t="s">
        <v>145</v>
      </c>
      <c r="I136" s="80" t="s">
        <v>173</v>
      </c>
      <c r="J136" s="83" t="s">
        <v>418</v>
      </c>
      <c r="K136" s="93" t="s">
        <v>419</v>
      </c>
      <c r="L136" s="83" t="b">
        <v>0</v>
      </c>
      <c r="M136" s="83" t="b">
        <v>1</v>
      </c>
      <c r="N136" s="94" t="s">
        <v>424</v>
      </c>
    </row>
    <row r="137" ht="15.75" customHeight="1">
      <c r="A137" s="79" t="s">
        <v>434</v>
      </c>
      <c r="B137" s="85" t="s">
        <v>140</v>
      </c>
      <c r="C137" s="85" t="s">
        <v>415</v>
      </c>
      <c r="D137" s="91" t="s">
        <v>429</v>
      </c>
      <c r="E137" s="91" t="s">
        <v>430</v>
      </c>
      <c r="F137" s="91"/>
      <c r="G137" s="85" t="s">
        <v>144</v>
      </c>
      <c r="H137" s="87" t="s">
        <v>145</v>
      </c>
      <c r="I137" s="85" t="s">
        <v>173</v>
      </c>
      <c r="J137" s="83" t="s">
        <v>418</v>
      </c>
      <c r="K137" s="93" t="s">
        <v>419</v>
      </c>
      <c r="L137" s="83" t="b">
        <v>0</v>
      </c>
      <c r="M137" s="83" t="b">
        <v>1</v>
      </c>
      <c r="N137" s="94" t="s">
        <v>424</v>
      </c>
    </row>
    <row r="138" ht="15.75" customHeight="1">
      <c r="A138" s="79" t="s">
        <v>435</v>
      </c>
      <c r="B138" s="80" t="s">
        <v>140</v>
      </c>
      <c r="C138" s="85" t="s">
        <v>415</v>
      </c>
      <c r="D138" s="91" t="s">
        <v>416</v>
      </c>
      <c r="E138" s="91" t="s">
        <v>417</v>
      </c>
      <c r="F138" s="89"/>
      <c r="G138" s="80" t="s">
        <v>172</v>
      </c>
      <c r="H138" s="88" t="s">
        <v>145</v>
      </c>
      <c r="I138" s="80" t="s">
        <v>173</v>
      </c>
      <c r="J138" s="83" t="s">
        <v>418</v>
      </c>
      <c r="K138" s="93" t="s">
        <v>419</v>
      </c>
      <c r="L138" s="83" t="b">
        <v>0</v>
      </c>
      <c r="M138" s="83" t="b">
        <v>1</v>
      </c>
      <c r="N138" s="94" t="s">
        <v>424</v>
      </c>
    </row>
    <row r="139" ht="15.75" customHeight="1">
      <c r="A139" s="79" t="s">
        <v>436</v>
      </c>
      <c r="B139" s="85" t="s">
        <v>140</v>
      </c>
      <c r="C139" s="85" t="s">
        <v>415</v>
      </c>
      <c r="D139" s="91" t="s">
        <v>422</v>
      </c>
      <c r="E139" s="91" t="s">
        <v>423</v>
      </c>
      <c r="F139" s="91"/>
      <c r="G139" s="85" t="s">
        <v>172</v>
      </c>
      <c r="H139" s="87" t="s">
        <v>145</v>
      </c>
      <c r="I139" s="85" t="s">
        <v>173</v>
      </c>
      <c r="J139" s="83" t="s">
        <v>418</v>
      </c>
      <c r="K139" s="93" t="s">
        <v>419</v>
      </c>
      <c r="L139" s="83" t="b">
        <v>0</v>
      </c>
      <c r="M139" s="83" t="b">
        <v>1</v>
      </c>
      <c r="N139" s="94" t="s">
        <v>424</v>
      </c>
    </row>
    <row r="140" ht="15.75" customHeight="1">
      <c r="A140" s="79" t="s">
        <v>437</v>
      </c>
      <c r="B140" s="80" t="s">
        <v>140</v>
      </c>
      <c r="C140" s="85" t="s">
        <v>415</v>
      </c>
      <c r="D140" s="91" t="s">
        <v>426</v>
      </c>
      <c r="E140" s="91" t="s">
        <v>427</v>
      </c>
      <c r="F140" s="89"/>
      <c r="G140" s="80" t="s">
        <v>144</v>
      </c>
      <c r="H140" s="88" t="s">
        <v>145</v>
      </c>
      <c r="I140" s="80" t="s">
        <v>173</v>
      </c>
      <c r="J140" s="83" t="s">
        <v>418</v>
      </c>
      <c r="K140" s="93" t="s">
        <v>419</v>
      </c>
      <c r="L140" s="83" t="b">
        <v>0</v>
      </c>
      <c r="M140" s="83" t="b">
        <v>1</v>
      </c>
      <c r="N140" s="94" t="s">
        <v>424</v>
      </c>
    </row>
    <row r="141" ht="15.75" customHeight="1">
      <c r="A141" s="79" t="s">
        <v>438</v>
      </c>
      <c r="B141" s="85" t="s">
        <v>140</v>
      </c>
      <c r="C141" s="85" t="s">
        <v>415</v>
      </c>
      <c r="D141" s="91" t="s">
        <v>429</v>
      </c>
      <c r="E141" s="91" t="s">
        <v>430</v>
      </c>
      <c r="F141" s="91"/>
      <c r="G141" s="85" t="s">
        <v>144</v>
      </c>
      <c r="H141" s="87" t="s">
        <v>145</v>
      </c>
      <c r="I141" s="85" t="s">
        <v>173</v>
      </c>
      <c r="J141" s="83" t="s">
        <v>418</v>
      </c>
      <c r="K141" s="93" t="s">
        <v>419</v>
      </c>
      <c r="L141" s="83" t="b">
        <v>0</v>
      </c>
      <c r="M141" s="83" t="b">
        <v>1</v>
      </c>
      <c r="N141" s="94" t="s">
        <v>424</v>
      </c>
    </row>
    <row r="142">
      <c r="A142" s="79" t="s">
        <v>439</v>
      </c>
      <c r="B142" s="95" t="s">
        <v>140</v>
      </c>
      <c r="C142" s="85" t="s">
        <v>415</v>
      </c>
      <c r="D142" s="91" t="s">
        <v>429</v>
      </c>
      <c r="E142" s="91" t="s">
        <v>440</v>
      </c>
      <c r="F142" s="91"/>
      <c r="G142" s="85" t="s">
        <v>144</v>
      </c>
      <c r="H142" s="87" t="s">
        <v>145</v>
      </c>
      <c r="I142" s="85" t="s">
        <v>173</v>
      </c>
      <c r="J142" s="83" t="s">
        <v>418</v>
      </c>
      <c r="K142" s="93" t="s">
        <v>419</v>
      </c>
      <c r="L142" s="83" t="b">
        <v>0</v>
      </c>
      <c r="M142" s="83" t="b">
        <v>1</v>
      </c>
      <c r="N142" s="94" t="s">
        <v>424</v>
      </c>
    </row>
    <row r="143">
      <c r="A143" s="79" t="s">
        <v>441</v>
      </c>
      <c r="B143" s="95" t="s">
        <v>140</v>
      </c>
      <c r="C143" s="80" t="s">
        <v>141</v>
      </c>
      <c r="D143" s="81" t="s">
        <v>442</v>
      </c>
      <c r="E143" s="81" t="s">
        <v>443</v>
      </c>
      <c r="F143" s="89"/>
      <c r="G143" s="86" t="s">
        <v>198</v>
      </c>
      <c r="H143" s="94" t="s">
        <v>145</v>
      </c>
      <c r="I143" s="86" t="s">
        <v>444</v>
      </c>
      <c r="J143" s="80"/>
      <c r="K143" s="90"/>
      <c r="L143" s="83" t="b">
        <v>1</v>
      </c>
      <c r="M143" s="83" t="b">
        <v>0</v>
      </c>
      <c r="N143" s="89"/>
    </row>
    <row r="144">
      <c r="A144" s="84" t="s">
        <v>445</v>
      </c>
      <c r="B144" s="95" t="s">
        <v>140</v>
      </c>
      <c r="C144" s="80" t="s">
        <v>141</v>
      </c>
      <c r="D144" s="86" t="s">
        <v>446</v>
      </c>
      <c r="E144" s="86" t="s">
        <v>447</v>
      </c>
      <c r="F144" s="91"/>
      <c r="G144" s="86" t="s">
        <v>198</v>
      </c>
      <c r="H144" s="94" t="s">
        <v>145</v>
      </c>
      <c r="I144" s="86" t="s">
        <v>444</v>
      </c>
      <c r="J144" s="80"/>
      <c r="K144" s="90"/>
      <c r="L144" s="83" t="b">
        <v>1</v>
      </c>
      <c r="M144" s="83" t="b">
        <v>0</v>
      </c>
      <c r="N144" s="91"/>
    </row>
    <row r="145">
      <c r="A145" s="79" t="s">
        <v>448</v>
      </c>
      <c r="B145" s="95" t="s">
        <v>140</v>
      </c>
      <c r="C145" s="80" t="s">
        <v>141</v>
      </c>
      <c r="D145" s="81" t="s">
        <v>449</v>
      </c>
      <c r="E145" s="81" t="s">
        <v>450</v>
      </c>
      <c r="F145" s="89"/>
      <c r="G145" s="86" t="s">
        <v>198</v>
      </c>
      <c r="H145" s="94" t="s">
        <v>145</v>
      </c>
      <c r="I145" s="86" t="s">
        <v>444</v>
      </c>
      <c r="J145" s="80"/>
      <c r="K145" s="90"/>
      <c r="L145" s="83" t="b">
        <v>1</v>
      </c>
      <c r="M145" s="83" t="b">
        <v>0</v>
      </c>
      <c r="N145" s="89"/>
    </row>
    <row r="146" ht="13.5" customHeight="1">
      <c r="A146" s="84" t="s">
        <v>451</v>
      </c>
      <c r="B146" s="95" t="s">
        <v>140</v>
      </c>
      <c r="C146" s="80" t="s">
        <v>141</v>
      </c>
      <c r="D146" s="86" t="s">
        <v>452</v>
      </c>
      <c r="E146" s="86" t="s">
        <v>453</v>
      </c>
      <c r="F146" s="91"/>
      <c r="G146" s="86" t="s">
        <v>198</v>
      </c>
      <c r="H146" s="94" t="s">
        <v>145</v>
      </c>
      <c r="I146" s="86" t="s">
        <v>444</v>
      </c>
      <c r="J146" s="80"/>
      <c r="K146" s="90"/>
      <c r="L146" s="83" t="b">
        <v>1</v>
      </c>
      <c r="M146" s="83" t="b">
        <v>0</v>
      </c>
      <c r="N146" s="91"/>
    </row>
    <row r="147" ht="15.75" customHeight="1">
      <c r="A147" s="79" t="s">
        <v>454</v>
      </c>
      <c r="B147" s="95" t="s">
        <v>140</v>
      </c>
      <c r="C147" s="80" t="s">
        <v>141</v>
      </c>
      <c r="D147" s="81" t="s">
        <v>455</v>
      </c>
      <c r="E147" s="81" t="s">
        <v>456</v>
      </c>
      <c r="F147" s="89"/>
      <c r="G147" s="86" t="s">
        <v>198</v>
      </c>
      <c r="H147" s="94" t="s">
        <v>145</v>
      </c>
      <c r="I147" s="86" t="s">
        <v>444</v>
      </c>
      <c r="J147" s="80"/>
      <c r="K147" s="90"/>
      <c r="L147" s="83" t="b">
        <v>1</v>
      </c>
      <c r="M147" s="83" t="b">
        <v>0</v>
      </c>
      <c r="N147" s="89"/>
    </row>
    <row r="148" ht="15.75" customHeight="1">
      <c r="A148" s="84" t="s">
        <v>457</v>
      </c>
      <c r="B148" s="95" t="s">
        <v>140</v>
      </c>
      <c r="C148" s="80" t="s">
        <v>141</v>
      </c>
      <c r="D148" s="86" t="s">
        <v>458</v>
      </c>
      <c r="E148" s="86" t="s">
        <v>459</v>
      </c>
      <c r="F148" s="91"/>
      <c r="G148" s="86" t="s">
        <v>198</v>
      </c>
      <c r="H148" s="94" t="s">
        <v>145</v>
      </c>
      <c r="I148" s="86" t="s">
        <v>444</v>
      </c>
      <c r="J148" s="80"/>
      <c r="K148" s="90"/>
      <c r="L148" s="83" t="b">
        <v>1</v>
      </c>
      <c r="M148" s="83" t="b">
        <v>0</v>
      </c>
      <c r="N148" s="91"/>
    </row>
    <row r="149">
      <c r="A149" s="79" t="s">
        <v>460</v>
      </c>
      <c r="B149" s="95" t="s">
        <v>140</v>
      </c>
      <c r="C149" s="80" t="s">
        <v>141</v>
      </c>
      <c r="D149" s="81" t="s">
        <v>442</v>
      </c>
      <c r="E149" s="81" t="s">
        <v>443</v>
      </c>
      <c r="F149" s="89"/>
      <c r="G149" s="86" t="s">
        <v>198</v>
      </c>
      <c r="H149" s="94" t="s">
        <v>145</v>
      </c>
      <c r="I149" s="86" t="s">
        <v>444</v>
      </c>
      <c r="J149" s="89"/>
      <c r="K149" s="89"/>
      <c r="L149" s="83" t="b">
        <v>1</v>
      </c>
      <c r="M149" s="83" t="b">
        <v>0</v>
      </c>
      <c r="N149" s="89"/>
    </row>
    <row r="150">
      <c r="A150" s="84" t="s">
        <v>461</v>
      </c>
      <c r="B150" s="95" t="s">
        <v>140</v>
      </c>
      <c r="C150" s="80" t="s">
        <v>141</v>
      </c>
      <c r="D150" s="86" t="s">
        <v>446</v>
      </c>
      <c r="E150" s="86" t="s">
        <v>447</v>
      </c>
      <c r="F150" s="91"/>
      <c r="G150" s="86" t="s">
        <v>198</v>
      </c>
      <c r="H150" s="94" t="s">
        <v>145</v>
      </c>
      <c r="I150" s="86" t="s">
        <v>444</v>
      </c>
      <c r="J150" s="91"/>
      <c r="K150" s="91"/>
      <c r="L150" s="83" t="b">
        <v>1</v>
      </c>
      <c r="M150" s="83" t="b">
        <v>0</v>
      </c>
      <c r="N150" s="91"/>
    </row>
    <row r="151">
      <c r="A151" s="79" t="s">
        <v>462</v>
      </c>
      <c r="B151" s="95" t="s">
        <v>140</v>
      </c>
      <c r="C151" s="80" t="s">
        <v>141</v>
      </c>
      <c r="D151" s="81" t="s">
        <v>449</v>
      </c>
      <c r="E151" s="81" t="s">
        <v>450</v>
      </c>
      <c r="F151" s="89"/>
      <c r="G151" s="86" t="s">
        <v>198</v>
      </c>
      <c r="H151" s="94" t="s">
        <v>145</v>
      </c>
      <c r="I151" s="86" t="s">
        <v>444</v>
      </c>
      <c r="J151" s="89"/>
      <c r="K151" s="89"/>
      <c r="L151" s="83" t="b">
        <v>1</v>
      </c>
      <c r="M151" s="83" t="b">
        <v>0</v>
      </c>
      <c r="N151" s="89"/>
    </row>
    <row r="152">
      <c r="A152" s="84" t="s">
        <v>463</v>
      </c>
      <c r="B152" s="95" t="s">
        <v>140</v>
      </c>
      <c r="C152" s="80" t="s">
        <v>141</v>
      </c>
      <c r="D152" s="86" t="s">
        <v>452</v>
      </c>
      <c r="E152" s="86" t="s">
        <v>453</v>
      </c>
      <c r="F152" s="91"/>
      <c r="G152" s="86" t="s">
        <v>198</v>
      </c>
      <c r="H152" s="94" t="s">
        <v>145</v>
      </c>
      <c r="I152" s="86" t="s">
        <v>444</v>
      </c>
      <c r="J152" s="91"/>
      <c r="K152" s="91"/>
      <c r="L152" s="83" t="b">
        <v>1</v>
      </c>
      <c r="M152" s="83" t="b">
        <v>0</v>
      </c>
      <c r="N152" s="91"/>
    </row>
    <row r="153">
      <c r="A153" s="79" t="s">
        <v>464</v>
      </c>
      <c r="B153" s="95" t="s">
        <v>140</v>
      </c>
      <c r="C153" s="80" t="s">
        <v>141</v>
      </c>
      <c r="D153" s="81" t="s">
        <v>455</v>
      </c>
      <c r="E153" s="81" t="s">
        <v>456</v>
      </c>
      <c r="F153" s="89"/>
      <c r="G153" s="86" t="s">
        <v>198</v>
      </c>
      <c r="H153" s="94" t="s">
        <v>145</v>
      </c>
      <c r="I153" s="86" t="s">
        <v>444</v>
      </c>
      <c r="J153" s="89"/>
      <c r="K153" s="89"/>
      <c r="L153" s="83" t="b">
        <v>1</v>
      </c>
      <c r="M153" s="83" t="b">
        <v>0</v>
      </c>
      <c r="N153" s="89"/>
    </row>
    <row r="154">
      <c r="A154" s="84" t="s">
        <v>465</v>
      </c>
      <c r="B154" s="95" t="s">
        <v>140</v>
      </c>
      <c r="C154" s="80" t="s">
        <v>141</v>
      </c>
      <c r="D154" s="86" t="s">
        <v>458</v>
      </c>
      <c r="E154" s="86" t="s">
        <v>459</v>
      </c>
      <c r="F154" s="91"/>
      <c r="G154" s="86" t="s">
        <v>198</v>
      </c>
      <c r="H154" s="94" t="s">
        <v>145</v>
      </c>
      <c r="I154" s="86" t="s">
        <v>444</v>
      </c>
      <c r="J154" s="91"/>
      <c r="K154" s="91"/>
      <c r="L154" s="83" t="b">
        <v>1</v>
      </c>
      <c r="M154" s="83" t="b">
        <v>0</v>
      </c>
      <c r="N154" s="91"/>
    </row>
    <row r="155" ht="15.75" customHeight="1">
      <c r="A155" s="79" t="s">
        <v>466</v>
      </c>
      <c r="B155" s="95" t="s">
        <v>140</v>
      </c>
      <c r="C155" s="80" t="s">
        <v>141</v>
      </c>
      <c r="D155" s="81" t="s">
        <v>442</v>
      </c>
      <c r="E155" s="81" t="s">
        <v>443</v>
      </c>
      <c r="F155" s="91"/>
      <c r="G155" s="86" t="s">
        <v>198</v>
      </c>
      <c r="H155" s="94" t="s">
        <v>145</v>
      </c>
      <c r="I155" s="86" t="s">
        <v>444</v>
      </c>
      <c r="J155" s="91"/>
      <c r="K155" s="91"/>
      <c r="L155" s="83" t="b">
        <v>1</v>
      </c>
      <c r="M155" s="83" t="b">
        <v>0</v>
      </c>
      <c r="N155" s="91"/>
    </row>
    <row r="156" ht="15.75" customHeight="1">
      <c r="A156" s="84" t="s">
        <v>467</v>
      </c>
      <c r="B156" s="95" t="s">
        <v>140</v>
      </c>
      <c r="C156" s="80" t="s">
        <v>141</v>
      </c>
      <c r="D156" s="86" t="s">
        <v>446</v>
      </c>
      <c r="E156" s="86" t="s">
        <v>447</v>
      </c>
      <c r="F156" s="96"/>
      <c r="G156" s="86" t="s">
        <v>198</v>
      </c>
      <c r="H156" s="94" t="s">
        <v>145</v>
      </c>
      <c r="I156" s="86" t="s">
        <v>444</v>
      </c>
      <c r="J156" s="91"/>
      <c r="K156" s="91"/>
      <c r="L156" s="83" t="b">
        <v>1</v>
      </c>
      <c r="M156" s="83" t="b">
        <v>0</v>
      </c>
      <c r="N156" s="96"/>
    </row>
    <row r="157" ht="15.75" customHeight="1">
      <c r="A157" s="79" t="s">
        <v>468</v>
      </c>
      <c r="B157" s="95" t="s">
        <v>140</v>
      </c>
      <c r="C157" s="80" t="s">
        <v>141</v>
      </c>
      <c r="D157" s="81" t="s">
        <v>449</v>
      </c>
      <c r="E157" s="81" t="s">
        <v>450</v>
      </c>
      <c r="F157" s="96"/>
      <c r="G157" s="86" t="s">
        <v>198</v>
      </c>
      <c r="H157" s="94" t="s">
        <v>145</v>
      </c>
      <c r="I157" s="86" t="s">
        <v>444</v>
      </c>
      <c r="J157" s="91"/>
      <c r="K157" s="91"/>
      <c r="L157" s="83" t="b">
        <v>1</v>
      </c>
      <c r="M157" s="83" t="b">
        <v>0</v>
      </c>
      <c r="N157" s="96"/>
    </row>
    <row r="158" ht="15.75" customHeight="1">
      <c r="A158" s="84" t="s">
        <v>469</v>
      </c>
      <c r="B158" s="95" t="s">
        <v>140</v>
      </c>
      <c r="C158" s="80" t="s">
        <v>141</v>
      </c>
      <c r="D158" s="86" t="s">
        <v>452</v>
      </c>
      <c r="E158" s="86" t="s">
        <v>453</v>
      </c>
      <c r="F158" s="96"/>
      <c r="G158" s="86" t="s">
        <v>198</v>
      </c>
      <c r="H158" s="94" t="s">
        <v>145</v>
      </c>
      <c r="I158" s="86" t="s">
        <v>444</v>
      </c>
      <c r="J158" s="91"/>
      <c r="K158" s="91"/>
      <c r="L158" s="83" t="b">
        <v>1</v>
      </c>
      <c r="M158" s="83" t="b">
        <v>0</v>
      </c>
      <c r="N158" s="96"/>
    </row>
    <row r="159" ht="15.75" customHeight="1">
      <c r="A159" s="79" t="s">
        <v>470</v>
      </c>
      <c r="B159" s="95" t="s">
        <v>140</v>
      </c>
      <c r="C159" s="80" t="s">
        <v>141</v>
      </c>
      <c r="D159" s="81" t="s">
        <v>455</v>
      </c>
      <c r="E159" s="81" t="s">
        <v>456</v>
      </c>
      <c r="F159" s="96"/>
      <c r="G159" s="86" t="s">
        <v>198</v>
      </c>
      <c r="H159" s="94" t="s">
        <v>145</v>
      </c>
      <c r="I159" s="86" t="s">
        <v>444</v>
      </c>
      <c r="J159" s="91"/>
      <c r="K159" s="91"/>
      <c r="L159" s="83" t="b">
        <v>1</v>
      </c>
      <c r="M159" s="83" t="b">
        <v>0</v>
      </c>
      <c r="N159" s="96"/>
    </row>
    <row r="160" ht="15.75" customHeight="1">
      <c r="A160" s="84" t="s">
        <v>471</v>
      </c>
      <c r="B160" s="95" t="s">
        <v>140</v>
      </c>
      <c r="C160" s="80" t="s">
        <v>141</v>
      </c>
      <c r="D160" s="86" t="s">
        <v>458</v>
      </c>
      <c r="E160" s="86" t="s">
        <v>459</v>
      </c>
      <c r="F160" s="96"/>
      <c r="G160" s="86" t="s">
        <v>198</v>
      </c>
      <c r="H160" s="94" t="s">
        <v>145</v>
      </c>
      <c r="I160" s="86" t="s">
        <v>444</v>
      </c>
      <c r="J160" s="91"/>
      <c r="K160" s="91"/>
      <c r="L160" s="83" t="b">
        <v>1</v>
      </c>
      <c r="M160" s="83" t="b">
        <v>0</v>
      </c>
      <c r="N160" s="96"/>
    </row>
    <row r="161" ht="15.75" customHeight="1">
      <c r="A161" s="79" t="s">
        <v>472</v>
      </c>
      <c r="B161" s="95" t="s">
        <v>140</v>
      </c>
      <c r="C161" s="81" t="s">
        <v>293</v>
      </c>
      <c r="D161" s="97" t="s">
        <v>473</v>
      </c>
      <c r="E161" s="97" t="s">
        <v>474</v>
      </c>
      <c r="F161" s="96"/>
      <c r="G161" s="86" t="s">
        <v>198</v>
      </c>
      <c r="H161" s="94" t="s">
        <v>145</v>
      </c>
      <c r="I161" s="86" t="s">
        <v>444</v>
      </c>
      <c r="J161" s="91"/>
      <c r="K161" s="91"/>
      <c r="L161" s="83" t="b">
        <v>1</v>
      </c>
      <c r="M161" s="83" t="b">
        <v>0</v>
      </c>
      <c r="N161" s="96"/>
    </row>
    <row r="162" ht="15.75" customHeight="1">
      <c r="A162" s="79" t="s">
        <v>475</v>
      </c>
      <c r="B162" s="95" t="s">
        <v>140</v>
      </c>
      <c r="C162" s="81" t="s">
        <v>293</v>
      </c>
      <c r="D162" s="92" t="s">
        <v>476</v>
      </c>
      <c r="E162" s="97" t="s">
        <v>477</v>
      </c>
      <c r="F162" s="96"/>
      <c r="G162" s="86" t="s">
        <v>198</v>
      </c>
      <c r="H162" s="94" t="s">
        <v>145</v>
      </c>
      <c r="I162" s="86" t="s">
        <v>444</v>
      </c>
      <c r="J162" s="91"/>
      <c r="K162" s="91"/>
      <c r="L162" s="83" t="b">
        <v>1</v>
      </c>
      <c r="M162" s="83" t="b">
        <v>0</v>
      </c>
      <c r="N162" s="96"/>
    </row>
    <row r="163" ht="15.75" customHeight="1">
      <c r="A163" s="79" t="s">
        <v>478</v>
      </c>
      <c r="B163" s="95" t="s">
        <v>140</v>
      </c>
      <c r="C163" s="81" t="s">
        <v>293</v>
      </c>
      <c r="D163" s="92" t="s">
        <v>479</v>
      </c>
      <c r="E163" s="97" t="s">
        <v>480</v>
      </c>
      <c r="F163" s="96"/>
      <c r="G163" s="86" t="s">
        <v>198</v>
      </c>
      <c r="H163" s="94" t="s">
        <v>145</v>
      </c>
      <c r="I163" s="86" t="s">
        <v>444</v>
      </c>
      <c r="J163" s="91"/>
      <c r="K163" s="91"/>
      <c r="L163" s="83" t="b">
        <v>1</v>
      </c>
      <c r="M163" s="83" t="b">
        <v>0</v>
      </c>
      <c r="N163" s="96"/>
    </row>
    <row r="164" ht="15.75" customHeight="1">
      <c r="A164" s="84" t="s">
        <v>481</v>
      </c>
      <c r="B164" s="95" t="s">
        <v>140</v>
      </c>
      <c r="C164" s="81" t="s">
        <v>369</v>
      </c>
      <c r="D164" s="97" t="s">
        <v>482</v>
      </c>
      <c r="E164" s="97" t="s">
        <v>483</v>
      </c>
      <c r="F164" s="96"/>
      <c r="G164" s="86" t="s">
        <v>198</v>
      </c>
      <c r="H164" s="94" t="s">
        <v>145</v>
      </c>
      <c r="I164" s="86" t="s">
        <v>444</v>
      </c>
      <c r="J164" s="91"/>
      <c r="K164" s="91"/>
      <c r="L164" s="83" t="b">
        <v>1</v>
      </c>
      <c r="M164" s="83" t="b">
        <v>0</v>
      </c>
      <c r="N164" s="96"/>
    </row>
    <row r="165" ht="15.75" customHeight="1">
      <c r="A165" s="84" t="s">
        <v>484</v>
      </c>
      <c r="B165" s="95" t="s">
        <v>140</v>
      </c>
      <c r="C165" s="81" t="s">
        <v>369</v>
      </c>
      <c r="D165" s="97" t="s">
        <v>485</v>
      </c>
      <c r="E165" s="97" t="s">
        <v>486</v>
      </c>
      <c r="F165" s="96"/>
      <c r="G165" s="86" t="s">
        <v>198</v>
      </c>
      <c r="H165" s="94" t="s">
        <v>145</v>
      </c>
      <c r="I165" s="86" t="s">
        <v>444</v>
      </c>
      <c r="J165" s="91"/>
      <c r="K165" s="91"/>
      <c r="L165" s="83" t="b">
        <v>1</v>
      </c>
      <c r="M165" s="83" t="b">
        <v>0</v>
      </c>
      <c r="N165" s="96"/>
    </row>
    <row r="166" ht="15.75" customHeight="1">
      <c r="A166" s="98" t="s">
        <v>487</v>
      </c>
      <c r="B166" s="95" t="s">
        <v>140</v>
      </c>
      <c r="C166" s="81" t="s">
        <v>369</v>
      </c>
      <c r="D166" s="97" t="s">
        <v>488</v>
      </c>
      <c r="E166" s="97" t="s">
        <v>489</v>
      </c>
      <c r="F166" s="96"/>
      <c r="G166" s="86" t="s">
        <v>198</v>
      </c>
      <c r="H166" s="94" t="s">
        <v>145</v>
      </c>
      <c r="I166" s="86" t="s">
        <v>444</v>
      </c>
      <c r="J166" s="91"/>
      <c r="K166" s="91"/>
      <c r="L166" s="83" t="b">
        <v>1</v>
      </c>
      <c r="M166" s="83" t="b">
        <v>0</v>
      </c>
      <c r="N166" s="96"/>
    </row>
    <row r="167" ht="15.75" customHeight="1">
      <c r="A167" s="99"/>
      <c r="B167" s="100"/>
      <c r="C167" s="101"/>
      <c r="D167" s="102"/>
      <c r="E167" s="103"/>
      <c r="F167" s="96"/>
      <c r="G167" s="102"/>
      <c r="H167" s="104"/>
      <c r="I167" s="105"/>
      <c r="J167" s="91"/>
      <c r="K167" s="91"/>
      <c r="L167" s="91"/>
      <c r="M167" s="91"/>
      <c r="N167" s="96"/>
    </row>
    <row r="168" ht="15.75" customHeight="1">
      <c r="A168" s="106" t="s">
        <v>490</v>
      </c>
    </row>
    <row r="169" ht="15.75" customHeight="1">
      <c r="A169" s="107" t="s">
        <v>491</v>
      </c>
      <c r="B169" s="26" t="s">
        <v>492</v>
      </c>
      <c r="C169" s="26" t="s">
        <v>493</v>
      </c>
      <c r="D169" s="26" t="s">
        <v>494</v>
      </c>
      <c r="E169" s="26" t="s">
        <v>495</v>
      </c>
      <c r="F169" s="26"/>
      <c r="G169" s="24" t="s">
        <v>172</v>
      </c>
      <c r="H169" s="108" t="s">
        <v>145</v>
      </c>
      <c r="I169" s="24" t="s">
        <v>173</v>
      </c>
      <c r="J169" s="81" t="s">
        <v>496</v>
      </c>
      <c r="K169" s="81" t="s">
        <v>148</v>
      </c>
      <c r="L169" s="83" t="b">
        <v>0</v>
      </c>
      <c r="M169" s="83" t="b">
        <v>1</v>
      </c>
      <c r="N169" s="26" t="s">
        <v>497</v>
      </c>
    </row>
    <row r="170" ht="15.75" customHeight="1">
      <c r="A170" s="109"/>
      <c r="B170" s="24"/>
      <c r="C170" s="24"/>
      <c r="D170" s="24"/>
      <c r="E170" s="24"/>
      <c r="F170" s="24"/>
      <c r="G170" s="24"/>
      <c r="H170" s="110"/>
      <c r="I170" s="110"/>
      <c r="J170" s="24"/>
      <c r="K170" s="24"/>
      <c r="L170" s="24"/>
      <c r="M170" s="24"/>
      <c r="N170" s="24"/>
    </row>
    <row r="171" ht="15.75" customHeight="1">
      <c r="A171" s="111"/>
      <c r="B171" s="26"/>
      <c r="C171" s="26"/>
      <c r="D171" s="26"/>
      <c r="E171" s="26"/>
      <c r="F171" s="26"/>
      <c r="G171" s="26"/>
      <c r="H171" s="108"/>
      <c r="I171" s="108"/>
      <c r="J171" s="26"/>
      <c r="K171" s="26"/>
      <c r="L171" s="26"/>
      <c r="M171" s="26"/>
      <c r="N171" s="26"/>
    </row>
    <row r="172" ht="15.75" customHeight="1">
      <c r="A172" s="109"/>
      <c r="B172" s="24"/>
      <c r="C172" s="24"/>
      <c r="D172" s="24"/>
      <c r="E172" s="24"/>
      <c r="F172" s="24"/>
      <c r="G172" s="24"/>
      <c r="H172" s="110"/>
      <c r="I172" s="110"/>
      <c r="J172" s="24"/>
      <c r="K172" s="24"/>
      <c r="L172" s="24"/>
      <c r="M172" s="24"/>
      <c r="N172" s="24"/>
    </row>
    <row r="173" ht="13.5" customHeight="1">
      <c r="A173" s="111"/>
      <c r="B173" s="26"/>
      <c r="C173" s="26"/>
      <c r="D173" s="26"/>
      <c r="E173" s="26"/>
      <c r="F173" s="26"/>
      <c r="G173" s="26"/>
      <c r="H173" s="108"/>
      <c r="I173" s="108"/>
      <c r="J173" s="26"/>
      <c r="K173" s="26"/>
      <c r="L173" s="26"/>
      <c r="M173" s="26"/>
      <c r="N173" s="26"/>
    </row>
    <row r="174" ht="15.75" customHeight="1">
      <c r="A174" s="112" t="s">
        <v>498</v>
      </c>
    </row>
    <row r="175" ht="15.75" customHeight="1">
      <c r="A175" s="113" t="s">
        <v>499</v>
      </c>
      <c r="B175" s="26" t="s">
        <v>500</v>
      </c>
      <c r="C175" s="26" t="s">
        <v>501</v>
      </c>
      <c r="D175" s="26" t="s">
        <v>502</v>
      </c>
      <c r="E175" s="26" t="s">
        <v>503</v>
      </c>
      <c r="F175" s="114" t="s">
        <v>504</v>
      </c>
      <c r="G175" s="24" t="s">
        <v>172</v>
      </c>
      <c r="H175" s="115" t="s">
        <v>145</v>
      </c>
      <c r="I175" s="24" t="s">
        <v>173</v>
      </c>
      <c r="J175" s="24"/>
      <c r="K175" s="24"/>
      <c r="L175" s="83" t="b">
        <v>1</v>
      </c>
      <c r="M175" s="83" t="b">
        <v>0</v>
      </c>
      <c r="N175" s="26"/>
    </row>
    <row r="176" ht="15.75" customHeight="1">
      <c r="A176" s="116" t="s">
        <v>505</v>
      </c>
      <c r="B176" s="24" t="s">
        <v>500</v>
      </c>
      <c r="C176" s="24" t="s">
        <v>501</v>
      </c>
      <c r="D176" s="24" t="s">
        <v>506</v>
      </c>
      <c r="E176" s="24" t="s">
        <v>507</v>
      </c>
      <c r="F176" s="117" t="s">
        <v>508</v>
      </c>
      <c r="G176" s="24" t="s">
        <v>172</v>
      </c>
      <c r="H176" s="115" t="s">
        <v>145</v>
      </c>
      <c r="I176" s="24" t="s">
        <v>173</v>
      </c>
      <c r="J176" s="24"/>
      <c r="K176" s="24"/>
      <c r="L176" s="83" t="b">
        <v>1</v>
      </c>
      <c r="M176" s="83" t="b">
        <v>0</v>
      </c>
      <c r="N176" s="24"/>
    </row>
    <row r="177" ht="15.75" customHeight="1">
      <c r="A177" s="113" t="s">
        <v>509</v>
      </c>
      <c r="B177" s="26" t="s">
        <v>500</v>
      </c>
      <c r="C177" s="26" t="s">
        <v>501</v>
      </c>
      <c r="D177" s="26" t="s">
        <v>510</v>
      </c>
      <c r="E177" s="26" t="s">
        <v>511</v>
      </c>
      <c r="F177" s="114" t="s">
        <v>512</v>
      </c>
      <c r="G177" s="24" t="s">
        <v>172</v>
      </c>
      <c r="H177" s="115" t="s">
        <v>145</v>
      </c>
      <c r="I177" s="24" t="s">
        <v>173</v>
      </c>
      <c r="J177" s="24"/>
      <c r="K177" s="24"/>
      <c r="L177" s="83" t="b">
        <v>1</v>
      </c>
      <c r="M177" s="83" t="b">
        <v>0</v>
      </c>
      <c r="N177" s="26"/>
    </row>
    <row r="178" ht="15.75" customHeight="1">
      <c r="A178" s="116" t="s">
        <v>513</v>
      </c>
      <c r="B178" s="24" t="s">
        <v>500</v>
      </c>
      <c r="C178" s="24" t="s">
        <v>514</v>
      </c>
      <c r="D178" s="24" t="s">
        <v>515</v>
      </c>
      <c r="E178" s="24" t="s">
        <v>516</v>
      </c>
      <c r="F178" s="117" t="s">
        <v>517</v>
      </c>
      <c r="G178" s="24" t="s">
        <v>172</v>
      </c>
      <c r="H178" s="115" t="s">
        <v>145</v>
      </c>
      <c r="I178" s="24" t="s">
        <v>173</v>
      </c>
      <c r="J178" s="24"/>
      <c r="K178" s="24"/>
      <c r="L178" s="83" t="b">
        <v>1</v>
      </c>
      <c r="M178" s="83" t="b">
        <v>0</v>
      </c>
      <c r="N178" s="24"/>
    </row>
    <row r="179" ht="15.75" customHeight="1">
      <c r="A179" s="113" t="s">
        <v>518</v>
      </c>
      <c r="B179" s="26" t="s">
        <v>500</v>
      </c>
      <c r="C179" s="26" t="s">
        <v>514</v>
      </c>
      <c r="D179" s="26" t="s">
        <v>519</v>
      </c>
      <c r="E179" s="26" t="s">
        <v>520</v>
      </c>
      <c r="F179" s="114" t="s">
        <v>521</v>
      </c>
      <c r="G179" s="24" t="s">
        <v>172</v>
      </c>
      <c r="H179" s="115" t="s">
        <v>145</v>
      </c>
      <c r="I179" s="24" t="s">
        <v>173</v>
      </c>
      <c r="J179" s="24"/>
      <c r="K179" s="24"/>
      <c r="L179" s="83" t="b">
        <v>1</v>
      </c>
      <c r="M179" s="83" t="b">
        <v>0</v>
      </c>
      <c r="N179" s="26"/>
    </row>
    <row r="180" ht="15.75" customHeight="1">
      <c r="A180" s="116" t="s">
        <v>522</v>
      </c>
      <c r="B180" s="24" t="s">
        <v>500</v>
      </c>
      <c r="C180" s="24" t="s">
        <v>523</v>
      </c>
      <c r="D180" s="24" t="s">
        <v>524</v>
      </c>
      <c r="E180" s="24" t="s">
        <v>525</v>
      </c>
      <c r="F180" s="117" t="s">
        <v>526</v>
      </c>
      <c r="G180" s="24" t="s">
        <v>172</v>
      </c>
      <c r="H180" s="115" t="s">
        <v>145</v>
      </c>
      <c r="I180" s="24" t="s">
        <v>173</v>
      </c>
      <c r="J180" s="24"/>
      <c r="K180" s="24"/>
      <c r="L180" s="83" t="b">
        <v>1</v>
      </c>
      <c r="M180" s="83" t="b">
        <v>0</v>
      </c>
      <c r="N180" s="24"/>
    </row>
    <row r="181" ht="15.75" customHeight="1">
      <c r="A181" s="118" t="s">
        <v>527</v>
      </c>
      <c r="B181" s="119" t="s">
        <v>500</v>
      </c>
      <c r="C181" s="119" t="s">
        <v>523</v>
      </c>
      <c r="D181" s="119" t="s">
        <v>528</v>
      </c>
      <c r="E181" s="119" t="s">
        <v>529</v>
      </c>
      <c r="F181" s="120" t="s">
        <v>530</v>
      </c>
      <c r="G181" s="24" t="s">
        <v>172</v>
      </c>
      <c r="H181" s="115" t="s">
        <v>145</v>
      </c>
      <c r="I181" s="24" t="s">
        <v>173</v>
      </c>
      <c r="J181" s="24"/>
      <c r="K181" s="24"/>
      <c r="L181" s="83" t="b">
        <v>1</v>
      </c>
      <c r="M181" s="83" t="b">
        <v>0</v>
      </c>
      <c r="N181" s="119"/>
    </row>
    <row r="182" ht="15.75" customHeight="1">
      <c r="A182" s="121"/>
      <c r="B182" s="122"/>
      <c r="C182" s="122"/>
      <c r="D182" s="122"/>
      <c r="E182" s="122"/>
      <c r="F182" s="123"/>
      <c r="G182" s="124"/>
      <c r="H182" s="125"/>
      <c r="I182" s="124"/>
      <c r="J182" s="124"/>
      <c r="K182" s="124"/>
      <c r="L182" s="126" t="b">
        <v>1</v>
      </c>
      <c r="M182" s="126" t="b">
        <v>0</v>
      </c>
      <c r="N182" s="122"/>
    </row>
    <row r="183" ht="15.75" customHeight="1">
      <c r="A183" s="121"/>
      <c r="B183" s="122"/>
      <c r="C183" s="122"/>
      <c r="D183" s="122"/>
      <c r="E183" s="122"/>
      <c r="F183" s="123"/>
      <c r="G183" s="124"/>
      <c r="H183" s="125"/>
      <c r="I183" s="124"/>
      <c r="J183" s="124"/>
      <c r="K183" s="124"/>
      <c r="L183" s="126" t="b">
        <v>1</v>
      </c>
      <c r="M183" s="126" t="b">
        <v>0</v>
      </c>
      <c r="N183" s="122"/>
    </row>
    <row r="184" ht="15.75" customHeight="1">
      <c r="A184" s="121"/>
      <c r="B184" s="122"/>
      <c r="C184" s="122"/>
      <c r="D184" s="122"/>
      <c r="E184" s="122"/>
      <c r="F184" s="123"/>
      <c r="G184" s="124"/>
      <c r="H184" s="125"/>
      <c r="I184" s="124"/>
      <c r="J184" s="124"/>
      <c r="K184" s="124"/>
      <c r="L184" s="126" t="b">
        <v>1</v>
      </c>
      <c r="M184" s="126" t="b">
        <v>0</v>
      </c>
      <c r="N184" s="122"/>
    </row>
    <row r="185" ht="15.75" customHeight="1">
      <c r="A185" s="121"/>
      <c r="B185" s="122"/>
      <c r="C185" s="122"/>
      <c r="D185" s="122"/>
      <c r="E185" s="122"/>
      <c r="F185" s="123"/>
      <c r="G185" s="124"/>
      <c r="H185" s="125"/>
      <c r="I185" s="124"/>
      <c r="J185" s="124"/>
      <c r="K185" s="124"/>
      <c r="L185" s="126" t="b">
        <v>1</v>
      </c>
      <c r="M185" s="126" t="b">
        <v>0</v>
      </c>
      <c r="N185" s="122"/>
    </row>
    <row r="186" ht="15.75" customHeight="1">
      <c r="A186" s="121"/>
      <c r="B186" s="122"/>
      <c r="C186" s="122"/>
      <c r="D186" s="122"/>
      <c r="E186" s="122"/>
      <c r="F186" s="123"/>
      <c r="G186" s="124"/>
      <c r="H186" s="125"/>
      <c r="I186" s="124"/>
      <c r="J186" s="124"/>
      <c r="K186" s="124"/>
      <c r="L186" s="126" t="b">
        <v>1</v>
      </c>
      <c r="M186" s="126" t="b">
        <v>0</v>
      </c>
      <c r="N186" s="122"/>
    </row>
    <row r="187" ht="15.75" customHeight="1">
      <c r="A187" s="127" t="s">
        <v>531</v>
      </c>
      <c r="B187" s="128"/>
      <c r="C187" s="128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</row>
    <row r="188" ht="15.75" customHeight="1">
      <c r="A188" s="129" t="s">
        <v>532</v>
      </c>
      <c r="B188" s="130" t="s">
        <v>533</v>
      </c>
      <c r="C188" s="130" t="s">
        <v>534</v>
      </c>
      <c r="D188" s="130" t="s">
        <v>535</v>
      </c>
      <c r="E188" s="130" t="s">
        <v>536</v>
      </c>
      <c r="F188" s="131" t="s">
        <v>537</v>
      </c>
      <c r="G188" s="24" t="s">
        <v>172</v>
      </c>
      <c r="H188" s="132" t="s">
        <v>145</v>
      </c>
      <c r="I188" s="24" t="s">
        <v>173</v>
      </c>
      <c r="J188" s="130"/>
      <c r="K188" s="130"/>
      <c r="L188" s="83" t="b">
        <v>0</v>
      </c>
      <c r="M188" s="83" t="b">
        <v>0</v>
      </c>
      <c r="N188" s="130"/>
    </row>
    <row r="189" ht="15.75" customHeight="1">
      <c r="A189" s="133" t="s">
        <v>538</v>
      </c>
      <c r="B189" s="24" t="s">
        <v>533</v>
      </c>
      <c r="C189" s="24" t="s">
        <v>539</v>
      </c>
      <c r="D189" s="24" t="s">
        <v>540</v>
      </c>
      <c r="E189" s="24" t="s">
        <v>541</v>
      </c>
      <c r="F189" s="117" t="s">
        <v>542</v>
      </c>
      <c r="G189" s="24" t="s">
        <v>172</v>
      </c>
      <c r="H189" s="132" t="s">
        <v>145</v>
      </c>
      <c r="I189" s="24" t="s">
        <v>173</v>
      </c>
      <c r="J189" s="24"/>
      <c r="K189" s="24"/>
      <c r="L189" s="83" t="b">
        <v>0</v>
      </c>
      <c r="M189" s="83" t="b">
        <v>0</v>
      </c>
      <c r="N189" s="24"/>
    </row>
    <row r="190" ht="15.75" customHeight="1">
      <c r="A190" s="134" t="s">
        <v>543</v>
      </c>
      <c r="B190" s="26" t="s">
        <v>533</v>
      </c>
      <c r="C190" s="26" t="s">
        <v>544</v>
      </c>
      <c r="D190" s="26" t="s">
        <v>545</v>
      </c>
      <c r="E190" s="26" t="s">
        <v>546</v>
      </c>
      <c r="F190" s="114" t="s">
        <v>547</v>
      </c>
      <c r="G190" s="24" t="s">
        <v>172</v>
      </c>
      <c r="H190" s="132" t="s">
        <v>145</v>
      </c>
      <c r="I190" s="24" t="s">
        <v>173</v>
      </c>
      <c r="J190" s="130"/>
      <c r="K190" s="130"/>
      <c r="L190" s="83" t="b">
        <v>0</v>
      </c>
      <c r="M190" s="83" t="b">
        <v>0</v>
      </c>
      <c r="N190" s="26"/>
    </row>
    <row r="191" ht="15.75" customHeight="1">
      <c r="H191" s="135"/>
      <c r="I191" s="135"/>
      <c r="J191" s="24"/>
      <c r="K191" s="24"/>
      <c r="L191" s="124"/>
      <c r="M191" s="124"/>
    </row>
    <row r="192" ht="15.75" customHeight="1">
      <c r="H192" s="135"/>
      <c r="I192" s="135"/>
      <c r="J192" s="24"/>
      <c r="K192" s="24"/>
      <c r="L192" s="124"/>
      <c r="M192" s="124"/>
    </row>
    <row r="193" ht="15.75" customHeight="1">
      <c r="H193" s="135"/>
      <c r="I193" s="135"/>
      <c r="J193" s="24"/>
      <c r="K193" s="24"/>
      <c r="L193" s="124"/>
      <c r="M193" s="124"/>
    </row>
    <row r="194" ht="15.75" customHeight="1">
      <c r="H194" s="135"/>
      <c r="I194" s="135"/>
      <c r="J194" s="24"/>
      <c r="K194" s="24"/>
      <c r="L194" s="124"/>
      <c r="M194" s="124"/>
    </row>
    <row r="195" ht="15.75" customHeight="1">
      <c r="H195" s="135"/>
      <c r="I195" s="135"/>
      <c r="J195" s="24"/>
      <c r="K195" s="24"/>
      <c r="L195" s="124"/>
      <c r="M195" s="124"/>
    </row>
    <row r="196" ht="15.75" customHeight="1">
      <c r="H196" s="135"/>
      <c r="I196" s="135"/>
      <c r="J196" s="24"/>
      <c r="K196" s="24"/>
      <c r="L196" s="124"/>
      <c r="M196" s="124"/>
    </row>
    <row r="197" ht="15.75" customHeight="1">
      <c r="H197" s="135"/>
      <c r="I197" s="135"/>
      <c r="J197" s="24"/>
      <c r="K197" s="24"/>
      <c r="L197" s="124"/>
      <c r="M197" s="124"/>
    </row>
    <row r="198" ht="15.75" customHeight="1">
      <c r="H198" s="135"/>
      <c r="I198" s="135"/>
      <c r="J198" s="24"/>
      <c r="K198" s="24"/>
      <c r="L198" s="124"/>
      <c r="M198" s="124"/>
    </row>
    <row r="199" ht="15.75" customHeight="1">
      <c r="H199" s="135"/>
      <c r="I199" s="135"/>
      <c r="J199" s="24"/>
      <c r="K199" s="24"/>
      <c r="L199" s="124"/>
      <c r="M199" s="124"/>
    </row>
    <row r="200" ht="15.75" customHeight="1">
      <c r="H200" s="135"/>
      <c r="I200" s="135"/>
      <c r="J200" s="24"/>
      <c r="K200" s="24"/>
      <c r="L200" s="124"/>
      <c r="M200" s="124"/>
    </row>
    <row r="201" ht="15.75" customHeight="1">
      <c r="H201" s="135"/>
      <c r="I201" s="135"/>
      <c r="J201" s="24"/>
      <c r="K201" s="24"/>
      <c r="L201" s="124"/>
      <c r="M201" s="124"/>
    </row>
    <row r="202" ht="15.75" customHeight="1">
      <c r="H202" s="135"/>
      <c r="I202" s="135"/>
      <c r="J202" s="24"/>
      <c r="K202" s="24"/>
      <c r="L202" s="124"/>
      <c r="M202" s="124"/>
    </row>
    <row r="203" ht="15.75" customHeight="1">
      <c r="H203" s="135"/>
      <c r="I203" s="135"/>
      <c r="J203" s="24"/>
      <c r="K203" s="24"/>
      <c r="L203" s="124"/>
      <c r="M203" s="124"/>
    </row>
    <row r="204" ht="15.75" customHeight="1">
      <c r="H204" s="135"/>
      <c r="I204" s="135"/>
      <c r="J204" s="24"/>
      <c r="K204" s="24"/>
      <c r="L204" s="124"/>
      <c r="M204" s="124"/>
    </row>
    <row r="205" ht="15.75" customHeight="1">
      <c r="H205" s="135"/>
      <c r="I205" s="135"/>
      <c r="J205" s="24"/>
      <c r="K205" s="24"/>
      <c r="L205" s="124"/>
      <c r="M205" s="124"/>
    </row>
    <row r="206" ht="15.75" customHeight="1">
      <c r="H206" s="135"/>
      <c r="I206" s="135"/>
      <c r="J206" s="24"/>
      <c r="K206" s="24"/>
      <c r="L206" s="124"/>
      <c r="M206" s="124"/>
    </row>
    <row r="207" ht="15.75" customHeight="1">
      <c r="H207" s="135"/>
      <c r="I207" s="135"/>
      <c r="J207" s="24"/>
      <c r="K207" s="24"/>
      <c r="L207" s="124"/>
      <c r="M207" s="124"/>
    </row>
    <row r="208" ht="15.75" customHeight="1">
      <c r="H208" s="135"/>
      <c r="I208" s="135"/>
      <c r="J208" s="24"/>
      <c r="K208" s="24"/>
      <c r="L208" s="124"/>
      <c r="M208" s="124"/>
    </row>
    <row r="209" ht="15.75" customHeight="1">
      <c r="H209" s="135"/>
      <c r="I209" s="135"/>
      <c r="J209" s="24"/>
      <c r="K209" s="24"/>
      <c r="L209" s="124"/>
      <c r="M209" s="124"/>
    </row>
    <row r="210" ht="15.75" customHeight="1">
      <c r="H210" s="135"/>
      <c r="I210" s="135"/>
      <c r="J210" s="24"/>
      <c r="K210" s="24"/>
      <c r="L210" s="124"/>
      <c r="M210" s="124"/>
    </row>
    <row r="211" ht="15.75" customHeight="1">
      <c r="H211" s="135"/>
      <c r="I211" s="135"/>
      <c r="J211" s="24"/>
      <c r="K211" s="24"/>
      <c r="L211" s="124"/>
      <c r="M211" s="124"/>
    </row>
    <row r="212" ht="15.75" customHeight="1">
      <c r="H212" s="135"/>
      <c r="I212" s="135"/>
      <c r="J212" s="24"/>
      <c r="K212" s="24"/>
      <c r="L212" s="124"/>
      <c r="M212" s="124"/>
    </row>
    <row r="213" ht="15.75" customHeight="1">
      <c r="H213" s="135"/>
      <c r="I213" s="135"/>
      <c r="J213" s="24"/>
      <c r="K213" s="24"/>
      <c r="L213" s="124"/>
      <c r="M213" s="124"/>
    </row>
    <row r="214" ht="15.75" customHeight="1">
      <c r="H214" s="135"/>
      <c r="I214" s="135"/>
      <c r="J214" s="24"/>
      <c r="K214" s="24"/>
      <c r="L214" s="124"/>
      <c r="M214" s="124"/>
    </row>
    <row r="215" ht="15.75" customHeight="1">
      <c r="H215" s="135"/>
      <c r="I215" s="135"/>
      <c r="J215" s="24"/>
      <c r="K215" s="24"/>
      <c r="L215" s="124"/>
      <c r="M215" s="124"/>
    </row>
    <row r="216" ht="15.75" customHeight="1">
      <c r="H216" s="135"/>
      <c r="I216" s="135"/>
      <c r="J216" s="24"/>
      <c r="K216" s="24"/>
      <c r="L216" s="124"/>
      <c r="M216" s="124"/>
    </row>
    <row r="217" ht="15.75" customHeight="1">
      <c r="H217" s="135"/>
      <c r="I217" s="135"/>
      <c r="J217" s="24"/>
      <c r="K217" s="24"/>
      <c r="L217" s="124"/>
      <c r="M217" s="124"/>
    </row>
    <row r="218" ht="15.75" customHeight="1">
      <c r="H218" s="135"/>
      <c r="I218" s="135"/>
      <c r="J218" s="24"/>
      <c r="K218" s="24"/>
      <c r="L218" s="124"/>
      <c r="M218" s="124"/>
    </row>
    <row r="219" ht="15.75" customHeight="1">
      <c r="H219" s="135"/>
      <c r="I219" s="135"/>
      <c r="J219" s="24"/>
      <c r="K219" s="24"/>
      <c r="L219" s="124"/>
      <c r="M219" s="124"/>
    </row>
    <row r="220" ht="15.75" customHeight="1">
      <c r="H220" s="135"/>
      <c r="I220" s="135"/>
      <c r="J220" s="24"/>
      <c r="K220" s="24"/>
      <c r="L220" s="124"/>
      <c r="M220" s="124"/>
    </row>
    <row r="221" ht="15.75" customHeight="1">
      <c r="H221" s="135"/>
      <c r="I221" s="135"/>
      <c r="J221" s="24"/>
      <c r="K221" s="24"/>
      <c r="L221" s="124"/>
      <c r="M221" s="124"/>
    </row>
    <row r="222" ht="15.75" customHeight="1">
      <c r="H222" s="135"/>
      <c r="I222" s="135"/>
      <c r="J222" s="24"/>
      <c r="K222" s="24"/>
      <c r="L222" s="124"/>
      <c r="M222" s="124"/>
    </row>
    <row r="223" ht="15.75" customHeight="1">
      <c r="H223" s="135"/>
      <c r="I223" s="135"/>
      <c r="J223" s="24"/>
      <c r="K223" s="24"/>
      <c r="L223" s="124"/>
      <c r="M223" s="124"/>
    </row>
    <row r="224" ht="15.75" customHeight="1">
      <c r="H224" s="135"/>
      <c r="I224" s="135"/>
      <c r="J224" s="24"/>
      <c r="K224" s="24"/>
      <c r="L224" s="124"/>
      <c r="M224" s="124"/>
    </row>
    <row r="225" ht="15.75" customHeight="1">
      <c r="H225" s="135"/>
      <c r="I225" s="135"/>
      <c r="J225" s="24"/>
      <c r="K225" s="24"/>
      <c r="L225" s="124"/>
      <c r="M225" s="124"/>
    </row>
    <row r="226" ht="15.75" customHeight="1">
      <c r="H226" s="135"/>
      <c r="I226" s="135"/>
      <c r="J226" s="24"/>
      <c r="K226" s="24"/>
      <c r="L226" s="124"/>
      <c r="M226" s="124"/>
    </row>
    <row r="227" ht="15.75" customHeight="1">
      <c r="H227" s="135"/>
      <c r="I227" s="135"/>
      <c r="J227" s="24"/>
      <c r="K227" s="24"/>
      <c r="L227" s="124"/>
      <c r="M227" s="124"/>
    </row>
    <row r="228" ht="15.75" customHeight="1">
      <c r="H228" s="135"/>
      <c r="I228" s="135"/>
      <c r="J228" s="24"/>
      <c r="K228" s="24"/>
      <c r="L228" s="124"/>
      <c r="M228" s="124"/>
    </row>
    <row r="229" ht="15.75" customHeight="1">
      <c r="H229" s="135"/>
      <c r="I229" s="135"/>
      <c r="J229" s="24"/>
      <c r="K229" s="24"/>
      <c r="L229" s="124"/>
      <c r="M229" s="124"/>
    </row>
    <row r="230" ht="15.75" customHeight="1">
      <c r="H230" s="135"/>
      <c r="I230" s="135"/>
      <c r="J230" s="24"/>
      <c r="K230" s="24"/>
      <c r="L230" s="124"/>
      <c r="M230" s="124"/>
    </row>
    <row r="231" ht="15.75" customHeight="1">
      <c r="H231" s="135"/>
      <c r="I231" s="135"/>
      <c r="J231" s="24"/>
      <c r="K231" s="24"/>
      <c r="L231" s="124"/>
      <c r="M231" s="124"/>
    </row>
    <row r="232" ht="15.75" customHeight="1">
      <c r="H232" s="135"/>
      <c r="I232" s="135"/>
      <c r="J232" s="24"/>
      <c r="K232" s="24"/>
      <c r="L232" s="124"/>
      <c r="M232" s="124"/>
    </row>
    <row r="233" ht="15.75" customHeight="1">
      <c r="H233" s="135"/>
      <c r="I233" s="135"/>
      <c r="J233" s="24"/>
      <c r="K233" s="24"/>
      <c r="L233" s="124"/>
      <c r="M233" s="124"/>
    </row>
    <row r="234" ht="15.75" customHeight="1">
      <c r="H234" s="135"/>
      <c r="I234" s="135"/>
      <c r="J234" s="24"/>
      <c r="K234" s="24"/>
      <c r="L234" s="124"/>
      <c r="M234" s="124"/>
    </row>
    <row r="235" ht="15.75" customHeight="1">
      <c r="H235" s="135"/>
      <c r="I235" s="135"/>
      <c r="J235" s="24"/>
      <c r="K235" s="24"/>
      <c r="L235" s="124"/>
      <c r="M235" s="124"/>
    </row>
    <row r="236" ht="15.75" customHeight="1">
      <c r="H236" s="135"/>
      <c r="I236" s="135"/>
      <c r="J236" s="24"/>
      <c r="K236" s="24"/>
      <c r="L236" s="124"/>
      <c r="M236" s="124"/>
    </row>
    <row r="237" ht="15.75" customHeight="1">
      <c r="H237" s="135"/>
      <c r="I237" s="135"/>
      <c r="J237" s="24"/>
      <c r="K237" s="24"/>
      <c r="L237" s="124"/>
      <c r="M237" s="124"/>
    </row>
    <row r="238" ht="15.75" customHeight="1">
      <c r="H238" s="135"/>
      <c r="I238" s="135"/>
      <c r="J238" s="24"/>
      <c r="K238" s="24"/>
      <c r="L238" s="124"/>
      <c r="M238" s="124"/>
    </row>
    <row r="239" ht="15.75" customHeight="1">
      <c r="H239" s="135"/>
      <c r="I239" s="135"/>
      <c r="J239" s="24"/>
      <c r="K239" s="24"/>
      <c r="L239" s="124"/>
      <c r="M239" s="124"/>
    </row>
    <row r="240" ht="15.75" customHeight="1">
      <c r="H240" s="135"/>
      <c r="I240" s="135"/>
      <c r="J240" s="24"/>
      <c r="K240" s="24"/>
      <c r="L240" s="124"/>
      <c r="M240" s="124"/>
    </row>
    <row r="241" ht="15.75" customHeight="1">
      <c r="H241" s="135"/>
      <c r="I241" s="135"/>
      <c r="J241" s="24"/>
      <c r="K241" s="24"/>
      <c r="L241" s="124"/>
      <c r="M241" s="124"/>
    </row>
    <row r="242" ht="15.75" customHeight="1">
      <c r="H242" s="135"/>
      <c r="I242" s="135"/>
      <c r="J242" s="24"/>
      <c r="K242" s="24"/>
      <c r="L242" s="124"/>
      <c r="M242" s="124"/>
    </row>
    <row r="243" ht="15.75" customHeight="1">
      <c r="H243" s="135"/>
      <c r="I243" s="135"/>
      <c r="J243" s="24"/>
      <c r="K243" s="24"/>
      <c r="L243" s="124"/>
      <c r="M243" s="124"/>
    </row>
    <row r="244" ht="15.75" customHeight="1">
      <c r="H244" s="135"/>
      <c r="I244" s="135"/>
      <c r="J244" s="24"/>
      <c r="K244" s="24"/>
      <c r="L244" s="124"/>
      <c r="M244" s="124"/>
    </row>
    <row r="245" ht="15.75" customHeight="1">
      <c r="H245" s="135"/>
      <c r="I245" s="135"/>
      <c r="J245" s="24"/>
      <c r="K245" s="24"/>
      <c r="L245" s="124"/>
      <c r="M245" s="124"/>
    </row>
    <row r="246" ht="15.75" customHeight="1">
      <c r="H246" s="135"/>
      <c r="I246" s="135"/>
      <c r="J246" s="24"/>
      <c r="K246" s="24"/>
      <c r="L246" s="124"/>
      <c r="M246" s="124"/>
    </row>
    <row r="247" ht="15.75" customHeight="1">
      <c r="H247" s="135"/>
      <c r="I247" s="135"/>
      <c r="J247" s="24"/>
      <c r="K247" s="24"/>
      <c r="L247" s="124"/>
      <c r="M247" s="124"/>
    </row>
    <row r="248" ht="15.75" customHeight="1">
      <c r="H248" s="135"/>
      <c r="I248" s="135"/>
      <c r="J248" s="24"/>
      <c r="K248" s="24"/>
      <c r="L248" s="124"/>
      <c r="M248" s="124"/>
    </row>
    <row r="249" ht="15.75" customHeight="1">
      <c r="H249" s="135"/>
      <c r="I249" s="135"/>
      <c r="J249" s="24"/>
      <c r="K249" s="24"/>
      <c r="L249" s="124"/>
      <c r="M249" s="124"/>
    </row>
    <row r="250" ht="15.75" customHeight="1">
      <c r="H250" s="135"/>
      <c r="I250" s="135"/>
      <c r="J250" s="24"/>
      <c r="K250" s="24"/>
      <c r="L250" s="124"/>
      <c r="M250" s="124"/>
    </row>
    <row r="251" ht="15.75" customHeight="1">
      <c r="H251" s="135"/>
      <c r="I251" s="135"/>
      <c r="J251" s="24"/>
      <c r="K251" s="24"/>
      <c r="L251" s="124"/>
      <c r="M251" s="124"/>
    </row>
    <row r="252" ht="15.75" customHeight="1">
      <c r="H252" s="135"/>
      <c r="I252" s="135"/>
      <c r="J252" s="24"/>
      <c r="K252" s="24"/>
      <c r="L252" s="124"/>
      <c r="M252" s="124"/>
    </row>
    <row r="253" ht="15.75" customHeight="1">
      <c r="H253" s="135"/>
      <c r="I253" s="135"/>
      <c r="J253" s="24"/>
      <c r="K253" s="24"/>
      <c r="L253" s="124"/>
      <c r="M253" s="124"/>
    </row>
    <row r="254" ht="15.75" customHeight="1">
      <c r="H254" s="135"/>
      <c r="I254" s="135"/>
      <c r="J254" s="24"/>
      <c r="K254" s="24"/>
      <c r="L254" s="124"/>
      <c r="M254" s="124"/>
    </row>
    <row r="255" ht="15.75" customHeight="1">
      <c r="H255" s="135"/>
      <c r="I255" s="135"/>
      <c r="J255" s="24"/>
      <c r="K255" s="24"/>
      <c r="L255" s="124"/>
      <c r="M255" s="124"/>
    </row>
    <row r="256" ht="15.75" customHeight="1">
      <c r="H256" s="135"/>
      <c r="I256" s="135"/>
      <c r="J256" s="24"/>
      <c r="K256" s="24"/>
      <c r="L256" s="124"/>
      <c r="M256" s="124"/>
    </row>
    <row r="257" ht="15.75" customHeight="1">
      <c r="H257" s="135"/>
      <c r="I257" s="135"/>
      <c r="J257" s="24"/>
      <c r="K257" s="24"/>
      <c r="L257" s="124"/>
      <c r="M257" s="124"/>
    </row>
    <row r="258" ht="15.75" customHeight="1">
      <c r="H258" s="135"/>
      <c r="I258" s="135"/>
      <c r="J258" s="24"/>
      <c r="K258" s="24"/>
      <c r="L258" s="124"/>
      <c r="M258" s="124"/>
    </row>
    <row r="259" ht="15.75" customHeight="1">
      <c r="H259" s="135"/>
      <c r="I259" s="135"/>
      <c r="J259" s="24"/>
      <c r="K259" s="24"/>
      <c r="L259" s="124"/>
      <c r="M259" s="124"/>
    </row>
    <row r="260" ht="15.75" customHeight="1">
      <c r="H260" s="135"/>
      <c r="I260" s="135"/>
      <c r="J260" s="24"/>
      <c r="K260" s="24"/>
      <c r="L260" s="124"/>
      <c r="M260" s="124"/>
    </row>
    <row r="261" ht="15.75" customHeight="1">
      <c r="H261" s="135"/>
      <c r="I261" s="135"/>
      <c r="J261" s="24"/>
      <c r="K261" s="24"/>
      <c r="L261" s="124"/>
      <c r="M261" s="124"/>
    </row>
    <row r="262" ht="15.75" customHeight="1">
      <c r="H262" s="135"/>
      <c r="I262" s="135"/>
      <c r="J262" s="24"/>
      <c r="K262" s="24"/>
      <c r="L262" s="124"/>
      <c r="M262" s="124"/>
    </row>
    <row r="263" ht="15.75" customHeight="1">
      <c r="H263" s="135"/>
      <c r="I263" s="135"/>
      <c r="J263" s="24"/>
      <c r="K263" s="24"/>
      <c r="L263" s="124"/>
      <c r="M263" s="124"/>
    </row>
    <row r="264" ht="15.75" customHeight="1">
      <c r="H264" s="135"/>
      <c r="I264" s="135"/>
      <c r="J264" s="24"/>
      <c r="K264" s="24"/>
      <c r="L264" s="124"/>
      <c r="M264" s="124"/>
    </row>
    <row r="265" ht="15.75" customHeight="1">
      <c r="H265" s="135"/>
      <c r="I265" s="135"/>
      <c r="J265" s="24"/>
      <c r="K265" s="24"/>
      <c r="L265" s="124"/>
      <c r="M265" s="124"/>
    </row>
    <row r="266" ht="15.75" customHeight="1">
      <c r="H266" s="135"/>
      <c r="I266" s="135"/>
      <c r="J266" s="24"/>
      <c r="K266" s="24"/>
      <c r="L266" s="124"/>
      <c r="M266" s="124"/>
    </row>
    <row r="267" ht="15.75" customHeight="1">
      <c r="H267" s="135"/>
      <c r="I267" s="135"/>
      <c r="J267" s="24"/>
      <c r="K267" s="24"/>
      <c r="L267" s="124"/>
      <c r="M267" s="124"/>
    </row>
    <row r="268" ht="15.75" customHeight="1">
      <c r="H268" s="135"/>
      <c r="I268" s="135"/>
      <c r="J268" s="24"/>
      <c r="K268" s="24"/>
      <c r="L268" s="124"/>
      <c r="M268" s="124"/>
    </row>
    <row r="269" ht="15.75" customHeight="1">
      <c r="H269" s="135"/>
      <c r="I269" s="135"/>
      <c r="J269" s="24"/>
      <c r="K269" s="24"/>
      <c r="L269" s="124"/>
      <c r="M269" s="124"/>
    </row>
    <row r="270" ht="15.75" customHeight="1">
      <c r="H270" s="135"/>
      <c r="I270" s="135"/>
      <c r="J270" s="24"/>
      <c r="K270" s="24"/>
      <c r="L270" s="124"/>
      <c r="M270" s="124"/>
    </row>
    <row r="271" ht="15.75" customHeight="1">
      <c r="H271" s="135"/>
      <c r="I271" s="135"/>
      <c r="J271" s="24"/>
      <c r="K271" s="24"/>
      <c r="L271" s="124"/>
      <c r="M271" s="124"/>
    </row>
    <row r="272" ht="15.75" customHeight="1">
      <c r="H272" s="135"/>
      <c r="I272" s="135"/>
      <c r="J272" s="24"/>
      <c r="K272" s="24"/>
      <c r="L272" s="124"/>
      <c r="M272" s="124"/>
    </row>
    <row r="273" ht="15.75" customHeight="1">
      <c r="H273" s="135"/>
      <c r="I273" s="135"/>
      <c r="J273" s="24"/>
      <c r="K273" s="24"/>
      <c r="L273" s="124"/>
      <c r="M273" s="124"/>
    </row>
    <row r="274" ht="15.75" customHeight="1">
      <c r="H274" s="135"/>
      <c r="I274" s="135"/>
      <c r="J274" s="24"/>
      <c r="K274" s="24"/>
      <c r="L274" s="124"/>
      <c r="M274" s="124"/>
    </row>
    <row r="275" ht="15.75" customHeight="1">
      <c r="H275" s="135"/>
      <c r="I275" s="135"/>
      <c r="J275" s="24"/>
      <c r="K275" s="24"/>
      <c r="L275" s="124"/>
      <c r="M275" s="124"/>
    </row>
    <row r="276" ht="15.75" customHeight="1">
      <c r="H276" s="135"/>
      <c r="I276" s="135"/>
      <c r="J276" s="24"/>
      <c r="K276" s="24"/>
      <c r="L276" s="124"/>
      <c r="M276" s="124"/>
    </row>
    <row r="277" ht="15.75" customHeight="1">
      <c r="H277" s="135"/>
      <c r="I277" s="135"/>
      <c r="J277" s="24"/>
      <c r="K277" s="24"/>
      <c r="L277" s="124"/>
      <c r="M277" s="124"/>
    </row>
    <row r="278" ht="15.75" customHeight="1">
      <c r="H278" s="135"/>
      <c r="I278" s="135"/>
      <c r="J278" s="24"/>
      <c r="K278" s="24"/>
      <c r="L278" s="124"/>
      <c r="M278" s="124"/>
    </row>
    <row r="279" ht="15.75" customHeight="1">
      <c r="H279" s="135"/>
      <c r="I279" s="135"/>
      <c r="J279" s="24"/>
      <c r="K279" s="24"/>
      <c r="L279" s="124"/>
      <c r="M279" s="124"/>
    </row>
    <row r="280" ht="15.75" customHeight="1">
      <c r="H280" s="135"/>
      <c r="I280" s="135"/>
      <c r="J280" s="24"/>
      <c r="K280" s="24"/>
      <c r="L280" s="124"/>
      <c r="M280" s="124"/>
    </row>
    <row r="281" ht="15.75" customHeight="1">
      <c r="H281" s="135"/>
      <c r="I281" s="135"/>
      <c r="J281" s="24"/>
      <c r="K281" s="24"/>
      <c r="L281" s="124"/>
      <c r="M281" s="124"/>
    </row>
    <row r="282" ht="15.75" customHeight="1">
      <c r="H282" s="135"/>
      <c r="I282" s="135"/>
      <c r="J282" s="24"/>
      <c r="K282" s="24"/>
      <c r="L282" s="124"/>
      <c r="M282" s="124"/>
    </row>
    <row r="283" ht="15.75" customHeight="1">
      <c r="H283" s="135"/>
      <c r="I283" s="135"/>
      <c r="J283" s="24"/>
      <c r="K283" s="24"/>
      <c r="L283" s="124"/>
      <c r="M283" s="124"/>
    </row>
    <row r="284" ht="15.75" customHeight="1">
      <c r="H284" s="135"/>
      <c r="I284" s="135"/>
      <c r="J284" s="24"/>
      <c r="K284" s="24"/>
      <c r="L284" s="124"/>
      <c r="M284" s="124"/>
    </row>
    <row r="285" ht="15.75" customHeight="1">
      <c r="H285" s="135"/>
      <c r="I285" s="135"/>
      <c r="J285" s="24"/>
      <c r="K285" s="24"/>
      <c r="L285" s="124"/>
      <c r="M285" s="124"/>
    </row>
    <row r="286" ht="15.75" customHeight="1">
      <c r="H286" s="135"/>
      <c r="I286" s="135"/>
      <c r="J286" s="24"/>
      <c r="K286" s="24"/>
      <c r="L286" s="124"/>
      <c r="M286" s="124"/>
    </row>
    <row r="287" ht="15.75" customHeight="1">
      <c r="H287" s="135"/>
      <c r="I287" s="135"/>
      <c r="J287" s="24"/>
      <c r="K287" s="24"/>
      <c r="L287" s="124"/>
      <c r="M287" s="124"/>
    </row>
    <row r="288" ht="15.75" customHeight="1">
      <c r="H288" s="135"/>
      <c r="I288" s="135"/>
      <c r="J288" s="24"/>
      <c r="K288" s="24"/>
      <c r="L288" s="124"/>
      <c r="M288" s="124"/>
    </row>
    <row r="289" ht="15.75" customHeight="1">
      <c r="H289" s="135"/>
      <c r="I289" s="135"/>
      <c r="J289" s="24"/>
      <c r="K289" s="24"/>
      <c r="L289" s="124"/>
      <c r="M289" s="124"/>
    </row>
    <row r="290" ht="15.75" customHeight="1">
      <c r="H290" s="135"/>
      <c r="I290" s="135"/>
      <c r="J290" s="24"/>
      <c r="K290" s="24"/>
      <c r="L290" s="124"/>
      <c r="M290" s="124"/>
    </row>
    <row r="291" ht="15.75" customHeight="1">
      <c r="H291" s="135"/>
      <c r="I291" s="135"/>
      <c r="J291" s="24"/>
      <c r="K291" s="24"/>
      <c r="L291" s="124"/>
      <c r="M291" s="124"/>
    </row>
    <row r="292" ht="15.75" customHeight="1">
      <c r="H292" s="135"/>
      <c r="I292" s="135"/>
      <c r="J292" s="24"/>
      <c r="K292" s="24"/>
      <c r="L292" s="124"/>
      <c r="M292" s="124"/>
    </row>
    <row r="293" ht="15.75" customHeight="1">
      <c r="H293" s="135"/>
      <c r="I293" s="135"/>
      <c r="J293" s="24"/>
      <c r="K293" s="24"/>
      <c r="L293" s="124"/>
      <c r="M293" s="124"/>
    </row>
    <row r="294" ht="15.75" customHeight="1">
      <c r="H294" s="135"/>
      <c r="I294" s="135"/>
      <c r="J294" s="24"/>
      <c r="K294" s="24"/>
      <c r="L294" s="124"/>
      <c r="M294" s="124"/>
    </row>
    <row r="295" ht="15.75" customHeight="1">
      <c r="H295" s="135"/>
      <c r="I295" s="135"/>
      <c r="J295" s="24"/>
      <c r="K295" s="24"/>
      <c r="L295" s="124"/>
      <c r="M295" s="124"/>
    </row>
    <row r="296" ht="15.75" customHeight="1">
      <c r="H296" s="135"/>
      <c r="I296" s="135"/>
      <c r="J296" s="24"/>
      <c r="K296" s="24"/>
      <c r="L296" s="124"/>
      <c r="M296" s="124"/>
    </row>
    <row r="297" ht="15.75" customHeight="1">
      <c r="H297" s="135"/>
      <c r="I297" s="135"/>
      <c r="J297" s="24"/>
      <c r="K297" s="24"/>
      <c r="L297" s="124"/>
      <c r="M297" s="124"/>
    </row>
    <row r="298" ht="15.75" customHeight="1">
      <c r="H298" s="135"/>
      <c r="I298" s="135"/>
      <c r="J298" s="24"/>
      <c r="K298" s="24"/>
      <c r="L298" s="124"/>
      <c r="M298" s="124"/>
    </row>
    <row r="299" ht="15.75" customHeight="1">
      <c r="H299" s="135"/>
      <c r="I299" s="135"/>
      <c r="J299" s="24"/>
      <c r="K299" s="24"/>
      <c r="L299" s="124"/>
      <c r="M299" s="124"/>
    </row>
    <row r="300" ht="15.75" customHeight="1">
      <c r="H300" s="135"/>
      <c r="I300" s="135"/>
      <c r="J300" s="24"/>
      <c r="K300" s="24"/>
      <c r="L300" s="124"/>
      <c r="M300" s="124"/>
    </row>
    <row r="301" ht="15.75" customHeight="1">
      <c r="H301" s="135"/>
      <c r="I301" s="135"/>
      <c r="J301" s="24"/>
      <c r="K301" s="24"/>
      <c r="L301" s="124"/>
      <c r="M301" s="124"/>
    </row>
    <row r="302" ht="15.75" customHeight="1">
      <c r="H302" s="135"/>
      <c r="I302" s="135"/>
      <c r="J302" s="24"/>
      <c r="K302" s="24"/>
      <c r="L302" s="124"/>
      <c r="M302" s="124"/>
    </row>
    <row r="303" ht="15.75" customHeight="1">
      <c r="H303" s="135"/>
      <c r="I303" s="135"/>
      <c r="J303" s="24"/>
      <c r="K303" s="24"/>
      <c r="L303" s="124"/>
      <c r="M303" s="124"/>
    </row>
    <row r="304" ht="15.75" customHeight="1">
      <c r="H304" s="135"/>
      <c r="I304" s="135"/>
      <c r="J304" s="24"/>
      <c r="K304" s="24"/>
      <c r="L304" s="124"/>
      <c r="M304" s="124"/>
    </row>
    <row r="305" ht="15.75" customHeight="1">
      <c r="H305" s="135"/>
      <c r="I305" s="135"/>
      <c r="J305" s="24"/>
      <c r="K305" s="24"/>
      <c r="L305" s="124"/>
      <c r="M305" s="124"/>
    </row>
    <row r="306" ht="15.75" customHeight="1">
      <c r="H306" s="135"/>
      <c r="I306" s="135"/>
      <c r="J306" s="24"/>
      <c r="K306" s="24"/>
      <c r="L306" s="124"/>
      <c r="M306" s="124"/>
    </row>
    <row r="307" ht="15.75" customHeight="1">
      <c r="H307" s="135"/>
      <c r="I307" s="135"/>
      <c r="J307" s="24"/>
      <c r="K307" s="24"/>
      <c r="L307" s="124"/>
      <c r="M307" s="124"/>
    </row>
    <row r="308" ht="15.75" customHeight="1">
      <c r="H308" s="135"/>
      <c r="I308" s="135"/>
      <c r="J308" s="24"/>
      <c r="K308" s="24"/>
      <c r="L308" s="124"/>
      <c r="M308" s="124"/>
    </row>
    <row r="309" ht="15.75" customHeight="1">
      <c r="H309" s="135"/>
      <c r="I309" s="135"/>
      <c r="J309" s="24"/>
      <c r="K309" s="24"/>
      <c r="L309" s="124"/>
      <c r="M309" s="124"/>
    </row>
    <row r="310" ht="15.75" customHeight="1">
      <c r="H310" s="135"/>
      <c r="I310" s="135"/>
      <c r="J310" s="24"/>
      <c r="K310" s="24"/>
      <c r="L310" s="124"/>
      <c r="M310" s="124"/>
    </row>
    <row r="311" ht="15.75" customHeight="1">
      <c r="H311" s="135"/>
      <c r="I311" s="135"/>
      <c r="J311" s="24"/>
      <c r="K311" s="24"/>
      <c r="L311" s="124"/>
      <c r="M311" s="124"/>
    </row>
    <row r="312" ht="15.75" customHeight="1">
      <c r="H312" s="135"/>
      <c r="I312" s="135"/>
      <c r="J312" s="24"/>
      <c r="K312" s="24"/>
      <c r="L312" s="124"/>
      <c r="M312" s="124"/>
    </row>
    <row r="313" ht="15.75" customHeight="1">
      <c r="H313" s="135"/>
      <c r="I313" s="135"/>
      <c r="J313" s="24"/>
      <c r="K313" s="24"/>
      <c r="L313" s="124"/>
      <c r="M313" s="124"/>
    </row>
    <row r="314" ht="15.75" customHeight="1">
      <c r="H314" s="135"/>
      <c r="I314" s="135"/>
      <c r="J314" s="24"/>
      <c r="K314" s="24"/>
      <c r="L314" s="124"/>
      <c r="M314" s="124"/>
    </row>
    <row r="315" ht="15.75" customHeight="1">
      <c r="H315" s="135"/>
      <c r="I315" s="135"/>
      <c r="J315" s="24"/>
      <c r="K315" s="24"/>
      <c r="L315" s="124"/>
      <c r="M315" s="124"/>
    </row>
    <row r="316" ht="15.75" customHeight="1">
      <c r="H316" s="135"/>
      <c r="I316" s="135"/>
      <c r="J316" s="24"/>
      <c r="K316" s="24"/>
      <c r="L316" s="124"/>
      <c r="M316" s="124"/>
    </row>
    <row r="317" ht="15.75" customHeight="1">
      <c r="H317" s="135"/>
      <c r="I317" s="135"/>
      <c r="J317" s="24"/>
      <c r="K317" s="24"/>
      <c r="L317" s="124"/>
      <c r="M317" s="124"/>
    </row>
    <row r="318" ht="15.75" customHeight="1">
      <c r="H318" s="135"/>
      <c r="I318" s="135"/>
      <c r="J318" s="24"/>
      <c r="K318" s="24"/>
      <c r="L318" s="124"/>
      <c r="M318" s="124"/>
    </row>
    <row r="319" ht="15.75" customHeight="1">
      <c r="H319" s="135"/>
      <c r="I319" s="135"/>
      <c r="J319" s="24"/>
      <c r="K319" s="24"/>
      <c r="L319" s="124"/>
      <c r="M319" s="124"/>
    </row>
    <row r="320" ht="15.75" customHeight="1">
      <c r="H320" s="135"/>
      <c r="I320" s="135"/>
      <c r="J320" s="24"/>
      <c r="K320" s="24"/>
      <c r="L320" s="124"/>
      <c r="M320" s="124"/>
    </row>
    <row r="321" ht="15.75" customHeight="1">
      <c r="H321" s="135"/>
      <c r="I321" s="135"/>
      <c r="J321" s="24"/>
      <c r="K321" s="24"/>
      <c r="L321" s="124"/>
      <c r="M321" s="124"/>
    </row>
    <row r="322" ht="15.75" customHeight="1">
      <c r="H322" s="135"/>
      <c r="I322" s="135"/>
      <c r="J322" s="24"/>
      <c r="K322" s="24"/>
      <c r="L322" s="124"/>
      <c r="M322" s="124"/>
    </row>
    <row r="323" ht="15.75" customHeight="1">
      <c r="H323" s="135"/>
      <c r="I323" s="135"/>
      <c r="J323" s="24"/>
      <c r="K323" s="24"/>
      <c r="L323" s="124"/>
      <c r="M323" s="124"/>
    </row>
    <row r="324" ht="15.75" customHeight="1">
      <c r="H324" s="135"/>
      <c r="I324" s="135"/>
      <c r="J324" s="24"/>
      <c r="K324" s="24"/>
      <c r="L324" s="124"/>
      <c r="M324" s="124"/>
    </row>
    <row r="325" ht="15.75" customHeight="1">
      <c r="H325" s="135"/>
      <c r="I325" s="135"/>
      <c r="J325" s="24"/>
      <c r="K325" s="24"/>
      <c r="L325" s="124"/>
      <c r="M325" s="124"/>
    </row>
    <row r="326" ht="15.75" customHeight="1">
      <c r="H326" s="135"/>
      <c r="I326" s="135"/>
      <c r="J326" s="24"/>
      <c r="K326" s="24"/>
      <c r="L326" s="124"/>
      <c r="M326" s="124"/>
    </row>
    <row r="327" ht="15.75" customHeight="1">
      <c r="H327" s="135"/>
      <c r="I327" s="135"/>
      <c r="J327" s="24"/>
      <c r="K327" s="24"/>
      <c r="L327" s="124"/>
      <c r="M327" s="124"/>
    </row>
    <row r="328" ht="15.75" customHeight="1">
      <c r="H328" s="135"/>
      <c r="I328" s="135"/>
      <c r="J328" s="24"/>
      <c r="K328" s="24"/>
      <c r="L328" s="124"/>
      <c r="M328" s="124"/>
    </row>
    <row r="329" ht="15.75" customHeight="1">
      <c r="H329" s="135"/>
      <c r="I329" s="135"/>
      <c r="J329" s="24"/>
      <c r="K329" s="24"/>
      <c r="L329" s="124"/>
      <c r="M329" s="124"/>
    </row>
    <row r="330" ht="15.75" customHeight="1">
      <c r="H330" s="135"/>
      <c r="I330" s="135"/>
      <c r="J330" s="24"/>
      <c r="K330" s="24"/>
      <c r="L330" s="124"/>
      <c r="M330" s="124"/>
    </row>
    <row r="331" ht="15.75" customHeight="1">
      <c r="H331" s="135"/>
      <c r="I331" s="135"/>
      <c r="J331" s="24"/>
      <c r="K331" s="24"/>
      <c r="L331" s="124"/>
      <c r="M331" s="124"/>
    </row>
    <row r="332" ht="15.75" customHeight="1">
      <c r="H332" s="135"/>
      <c r="I332" s="135"/>
      <c r="J332" s="24"/>
      <c r="K332" s="24"/>
      <c r="L332" s="124"/>
      <c r="M332" s="124"/>
    </row>
    <row r="333" ht="15.75" customHeight="1">
      <c r="H333" s="135"/>
      <c r="I333" s="135"/>
      <c r="J333" s="24"/>
      <c r="K333" s="24"/>
      <c r="L333" s="124"/>
      <c r="M333" s="124"/>
    </row>
    <row r="334" ht="15.75" customHeight="1">
      <c r="H334" s="135"/>
      <c r="I334" s="135"/>
      <c r="J334" s="24"/>
      <c r="K334" s="24"/>
      <c r="L334" s="124"/>
      <c r="M334" s="124"/>
    </row>
    <row r="335" ht="15.75" customHeight="1">
      <c r="H335" s="135"/>
      <c r="I335" s="135"/>
      <c r="J335" s="24"/>
      <c r="K335" s="24"/>
      <c r="L335" s="124"/>
      <c r="M335" s="124"/>
    </row>
    <row r="336" ht="15.75" customHeight="1">
      <c r="H336" s="135"/>
      <c r="I336" s="135"/>
      <c r="J336" s="24"/>
      <c r="K336" s="24"/>
      <c r="L336" s="124"/>
      <c r="M336" s="124"/>
    </row>
    <row r="337" ht="15.75" customHeight="1">
      <c r="H337" s="135"/>
      <c r="I337" s="135"/>
      <c r="J337" s="24"/>
      <c r="K337" s="24"/>
      <c r="L337" s="124"/>
      <c r="M337" s="124"/>
    </row>
    <row r="338" ht="15.75" customHeight="1">
      <c r="H338" s="135"/>
      <c r="I338" s="135"/>
      <c r="J338" s="24"/>
      <c r="K338" s="24"/>
      <c r="L338" s="124"/>
      <c r="M338" s="124"/>
    </row>
    <row r="339" ht="15.75" customHeight="1">
      <c r="H339" s="135"/>
      <c r="I339" s="135"/>
      <c r="J339" s="24"/>
      <c r="K339" s="24"/>
      <c r="L339" s="124"/>
      <c r="M339" s="124"/>
    </row>
    <row r="340" ht="15.75" customHeight="1">
      <c r="H340" s="135"/>
      <c r="I340" s="135"/>
      <c r="J340" s="24"/>
      <c r="K340" s="24"/>
      <c r="L340" s="124"/>
      <c r="M340" s="124"/>
    </row>
    <row r="341" ht="15.75" customHeight="1">
      <c r="H341" s="135"/>
      <c r="I341" s="135"/>
      <c r="J341" s="24"/>
      <c r="K341" s="24"/>
      <c r="L341" s="124"/>
      <c r="M341" s="124"/>
    </row>
    <row r="342" ht="15.75" customHeight="1">
      <c r="H342" s="135"/>
      <c r="I342" s="135"/>
      <c r="J342" s="24"/>
      <c r="K342" s="24"/>
      <c r="L342" s="124"/>
      <c r="M342" s="124"/>
    </row>
    <row r="343" ht="15.75" customHeight="1">
      <c r="H343" s="135"/>
      <c r="I343" s="135"/>
      <c r="J343" s="24"/>
      <c r="K343" s="24"/>
      <c r="L343" s="124"/>
      <c r="M343" s="124"/>
    </row>
    <row r="344" ht="15.75" customHeight="1">
      <c r="H344" s="135"/>
      <c r="I344" s="135"/>
      <c r="J344" s="24"/>
      <c r="K344" s="24"/>
      <c r="L344" s="124"/>
      <c r="M344" s="124"/>
    </row>
    <row r="345" ht="15.75" customHeight="1">
      <c r="H345" s="135"/>
      <c r="I345" s="135"/>
      <c r="J345" s="24"/>
      <c r="K345" s="24"/>
      <c r="L345" s="124"/>
      <c r="M345" s="124"/>
    </row>
    <row r="346" ht="15.75" customHeight="1">
      <c r="H346" s="135"/>
      <c r="I346" s="135"/>
      <c r="J346" s="24"/>
      <c r="K346" s="24"/>
      <c r="L346" s="124"/>
      <c r="M346" s="124"/>
    </row>
    <row r="347" ht="15.75" customHeight="1">
      <c r="H347" s="135"/>
      <c r="I347" s="135"/>
      <c r="J347" s="24"/>
      <c r="K347" s="24"/>
      <c r="L347" s="124"/>
      <c r="M347" s="124"/>
    </row>
    <row r="348" ht="15.75" customHeight="1">
      <c r="H348" s="135"/>
      <c r="I348" s="135"/>
      <c r="J348" s="24"/>
      <c r="K348" s="24"/>
      <c r="L348" s="124"/>
      <c r="M348" s="124"/>
    </row>
    <row r="349" ht="15.75" customHeight="1">
      <c r="H349" s="135"/>
      <c r="I349" s="135"/>
      <c r="J349" s="24"/>
      <c r="K349" s="24"/>
      <c r="L349" s="124"/>
      <c r="M349" s="124"/>
    </row>
    <row r="350" ht="15.75" customHeight="1">
      <c r="H350" s="135"/>
      <c r="I350" s="135"/>
      <c r="J350" s="24"/>
      <c r="K350" s="24"/>
      <c r="L350" s="124"/>
      <c r="M350" s="124"/>
    </row>
    <row r="351" ht="15.75" customHeight="1">
      <c r="H351" s="135"/>
      <c r="I351" s="135"/>
      <c r="J351" s="24"/>
      <c r="K351" s="24"/>
      <c r="L351" s="124"/>
      <c r="M351" s="124"/>
    </row>
    <row r="352" ht="15.75" customHeight="1">
      <c r="H352" s="135"/>
      <c r="I352" s="135"/>
      <c r="J352" s="24"/>
      <c r="K352" s="24"/>
      <c r="L352" s="124"/>
      <c r="M352" s="124"/>
    </row>
    <row r="353" ht="15.75" customHeight="1">
      <c r="H353" s="135"/>
      <c r="I353" s="135"/>
      <c r="J353" s="24"/>
      <c r="K353" s="24"/>
      <c r="L353" s="124"/>
      <c r="M353" s="124"/>
    </row>
    <row r="354" ht="15.75" customHeight="1">
      <c r="H354" s="135"/>
      <c r="I354" s="135"/>
      <c r="J354" s="24"/>
      <c r="K354" s="24"/>
      <c r="L354" s="124"/>
      <c r="M354" s="124"/>
    </row>
    <row r="355" ht="15.75" customHeight="1">
      <c r="H355" s="135"/>
      <c r="I355" s="135"/>
      <c r="J355" s="24"/>
      <c r="K355" s="24"/>
      <c r="L355" s="124"/>
      <c r="M355" s="124"/>
    </row>
    <row r="356" ht="15.75" customHeight="1">
      <c r="H356" s="135"/>
      <c r="I356" s="135"/>
      <c r="J356" s="24"/>
      <c r="K356" s="24"/>
      <c r="L356" s="124"/>
      <c r="M356" s="124"/>
    </row>
    <row r="357" ht="15.75" customHeight="1">
      <c r="H357" s="135"/>
      <c r="I357" s="135"/>
      <c r="J357" s="24"/>
      <c r="K357" s="24"/>
      <c r="L357" s="124"/>
      <c r="M357" s="124"/>
    </row>
    <row r="358" ht="15.75" customHeight="1">
      <c r="H358" s="135"/>
      <c r="I358" s="135"/>
      <c r="J358" s="24"/>
      <c r="K358" s="24"/>
      <c r="L358" s="124"/>
      <c r="M358" s="124"/>
    </row>
    <row r="359" ht="15.75" customHeight="1">
      <c r="H359" s="135"/>
      <c r="I359" s="135"/>
      <c r="J359" s="24"/>
      <c r="K359" s="24"/>
      <c r="L359" s="124"/>
      <c r="M359" s="124"/>
    </row>
    <row r="360" ht="15.75" customHeight="1">
      <c r="H360" s="135"/>
      <c r="I360" s="135"/>
      <c r="J360" s="24"/>
      <c r="K360" s="24"/>
      <c r="L360" s="124"/>
      <c r="M360" s="124"/>
    </row>
    <row r="361" ht="15.75" customHeight="1">
      <c r="H361" s="135"/>
      <c r="I361" s="135"/>
      <c r="J361" s="24"/>
      <c r="K361" s="24"/>
      <c r="L361" s="124"/>
      <c r="M361" s="124"/>
    </row>
    <row r="362" ht="15.75" customHeight="1">
      <c r="H362" s="135"/>
      <c r="I362" s="135"/>
      <c r="J362" s="24"/>
      <c r="K362" s="24"/>
      <c r="L362" s="124"/>
      <c r="M362" s="124"/>
    </row>
    <row r="363" ht="15.75" customHeight="1">
      <c r="H363" s="135"/>
      <c r="I363" s="135"/>
      <c r="J363" s="24"/>
      <c r="K363" s="24"/>
      <c r="L363" s="124"/>
      <c r="M363" s="124"/>
    </row>
    <row r="364" ht="15.75" customHeight="1">
      <c r="H364" s="135"/>
      <c r="I364" s="135"/>
      <c r="J364" s="24"/>
      <c r="K364" s="24"/>
      <c r="L364" s="124"/>
      <c r="M364" s="124"/>
    </row>
    <row r="365" ht="15.75" customHeight="1">
      <c r="H365" s="135"/>
      <c r="I365" s="135"/>
      <c r="J365" s="24"/>
      <c r="K365" s="24"/>
      <c r="L365" s="124"/>
      <c r="M365" s="124"/>
    </row>
    <row r="366" ht="15.75" customHeight="1">
      <c r="H366" s="135"/>
      <c r="I366" s="135"/>
      <c r="J366" s="24"/>
      <c r="K366" s="24"/>
      <c r="L366" s="124"/>
      <c r="M366" s="124"/>
    </row>
    <row r="367" ht="15.75" customHeight="1">
      <c r="H367" s="135"/>
      <c r="I367" s="135"/>
      <c r="J367" s="24"/>
      <c r="K367" s="24"/>
      <c r="L367" s="124"/>
      <c r="M367" s="124"/>
    </row>
    <row r="368" ht="15.75" customHeight="1">
      <c r="H368" s="135"/>
      <c r="I368" s="135"/>
      <c r="J368" s="24"/>
      <c r="K368" s="24"/>
      <c r="L368" s="124"/>
      <c r="M368" s="124"/>
    </row>
    <row r="369" ht="15.75" customHeight="1">
      <c r="H369" s="135"/>
      <c r="I369" s="135"/>
      <c r="J369" s="24"/>
      <c r="K369" s="24"/>
      <c r="L369" s="124"/>
      <c r="M369" s="124"/>
    </row>
    <row r="370" ht="15.75" customHeight="1">
      <c r="H370" s="135"/>
      <c r="I370" s="135"/>
      <c r="J370" s="24"/>
      <c r="K370" s="24"/>
      <c r="L370" s="124"/>
      <c r="M370" s="124"/>
    </row>
    <row r="371" ht="15.75" customHeight="1">
      <c r="H371" s="135"/>
      <c r="I371" s="135"/>
      <c r="J371" s="24"/>
      <c r="K371" s="24"/>
      <c r="L371" s="124"/>
      <c r="M371" s="124"/>
    </row>
    <row r="372" ht="15.75" customHeight="1">
      <c r="H372" s="135"/>
      <c r="I372" s="135"/>
      <c r="J372" s="24"/>
      <c r="K372" s="24"/>
      <c r="L372" s="124"/>
      <c r="M372" s="124"/>
    </row>
    <row r="373" ht="15.75" customHeight="1">
      <c r="H373" s="135"/>
      <c r="I373" s="135"/>
      <c r="J373" s="24"/>
      <c r="K373" s="24"/>
      <c r="L373" s="124"/>
      <c r="M373" s="124"/>
    </row>
    <row r="374" ht="15.75" customHeight="1">
      <c r="H374" s="135"/>
      <c r="I374" s="135"/>
      <c r="J374" s="24"/>
      <c r="K374" s="24"/>
      <c r="L374" s="124"/>
      <c r="M374" s="124"/>
    </row>
    <row r="375" ht="15.75" customHeight="1">
      <c r="H375" s="135"/>
      <c r="I375" s="135"/>
      <c r="J375" s="24"/>
      <c r="K375" s="24"/>
      <c r="L375" s="124"/>
      <c r="M375" s="124"/>
    </row>
    <row r="376" ht="15.75" customHeight="1">
      <c r="H376" s="135"/>
      <c r="I376" s="135"/>
      <c r="J376" s="24"/>
      <c r="K376" s="24"/>
      <c r="L376" s="124"/>
      <c r="M376" s="124"/>
    </row>
    <row r="377" ht="15.75" customHeight="1">
      <c r="H377" s="135"/>
      <c r="I377" s="135"/>
      <c r="J377" s="24"/>
      <c r="K377" s="24"/>
      <c r="L377" s="124"/>
      <c r="M377" s="124"/>
    </row>
    <row r="378" ht="15.75" customHeight="1">
      <c r="H378" s="135"/>
      <c r="I378" s="135"/>
      <c r="J378" s="24"/>
      <c r="K378" s="24"/>
      <c r="L378" s="124"/>
      <c r="M378" s="124"/>
    </row>
    <row r="379" ht="15.75" customHeight="1">
      <c r="H379" s="135"/>
      <c r="I379" s="135"/>
      <c r="J379" s="24"/>
      <c r="K379" s="24"/>
      <c r="L379" s="124"/>
      <c r="M379" s="124"/>
    </row>
    <row r="380" ht="15.75" customHeight="1">
      <c r="H380" s="135"/>
      <c r="I380" s="135"/>
      <c r="J380" s="24"/>
      <c r="K380" s="24"/>
      <c r="L380" s="124"/>
      <c r="M380" s="124"/>
    </row>
    <row r="381" ht="15.75" customHeight="1">
      <c r="H381" s="135"/>
      <c r="I381" s="135"/>
      <c r="J381" s="24"/>
      <c r="K381" s="24"/>
      <c r="L381" s="124"/>
      <c r="M381" s="124"/>
    </row>
    <row r="382" ht="15.75" customHeight="1">
      <c r="H382" s="135"/>
      <c r="I382" s="135"/>
      <c r="J382" s="24"/>
      <c r="K382" s="24"/>
      <c r="L382" s="124"/>
      <c r="M382" s="124"/>
    </row>
    <row r="383" ht="15.75" customHeight="1">
      <c r="H383" s="135"/>
      <c r="I383" s="135"/>
      <c r="J383" s="24"/>
      <c r="K383" s="24"/>
      <c r="L383" s="124"/>
      <c r="M383" s="124"/>
    </row>
    <row r="384" ht="15.75" customHeight="1">
      <c r="H384" s="135"/>
      <c r="I384" s="135"/>
      <c r="J384" s="24"/>
      <c r="K384" s="24"/>
      <c r="L384" s="124"/>
      <c r="M384" s="124"/>
    </row>
    <row r="385" ht="15.75" customHeight="1">
      <c r="H385" s="135"/>
      <c r="I385" s="135"/>
      <c r="J385" s="24"/>
      <c r="K385" s="24"/>
      <c r="L385" s="124"/>
      <c r="M385" s="124"/>
    </row>
    <row r="386" ht="15.75" customHeight="1">
      <c r="H386" s="135"/>
      <c r="I386" s="135"/>
      <c r="J386" s="24"/>
      <c r="K386" s="24"/>
      <c r="L386" s="124"/>
      <c r="M386" s="124"/>
    </row>
    <row r="387" ht="15.75" customHeight="1">
      <c r="H387" s="135"/>
      <c r="I387" s="135"/>
      <c r="J387" s="24"/>
      <c r="K387" s="24"/>
      <c r="L387" s="124"/>
      <c r="M387" s="124"/>
    </row>
    <row r="388" ht="15.75" customHeight="1">
      <c r="H388" s="135"/>
      <c r="I388" s="135"/>
      <c r="J388" s="24"/>
      <c r="K388" s="24"/>
      <c r="L388" s="124"/>
      <c r="M388" s="124"/>
    </row>
    <row r="389" ht="15.75" customHeight="1">
      <c r="H389" s="135"/>
      <c r="I389" s="135"/>
      <c r="J389" s="24"/>
      <c r="K389" s="24"/>
      <c r="L389" s="124"/>
      <c r="M389" s="124"/>
    </row>
    <row r="390" ht="15.75" customHeight="1">
      <c r="H390" s="135"/>
      <c r="I390" s="135"/>
      <c r="J390" s="24"/>
      <c r="K390" s="24"/>
      <c r="L390" s="124"/>
      <c r="M390" s="124"/>
    </row>
    <row r="391" ht="15.75" customHeight="1">
      <c r="H391" s="135"/>
      <c r="I391" s="135"/>
      <c r="J391" s="24"/>
      <c r="K391" s="24"/>
      <c r="L391" s="124"/>
      <c r="M391" s="124"/>
    </row>
    <row r="392" ht="15.75" customHeight="1">
      <c r="H392" s="135"/>
      <c r="I392" s="135"/>
      <c r="J392" s="24"/>
      <c r="K392" s="24"/>
      <c r="L392" s="124"/>
      <c r="M392" s="124"/>
    </row>
    <row r="393" ht="15.75" customHeight="1">
      <c r="H393" s="135"/>
      <c r="I393" s="135"/>
      <c r="J393" s="24"/>
      <c r="K393" s="24"/>
      <c r="L393" s="124"/>
      <c r="M393" s="124"/>
    </row>
    <row r="394" ht="15.75" customHeight="1">
      <c r="H394" s="135"/>
      <c r="I394" s="135"/>
      <c r="J394" s="24"/>
      <c r="K394" s="24"/>
      <c r="L394" s="124"/>
      <c r="M394" s="124"/>
    </row>
    <row r="395" ht="15.75" customHeight="1">
      <c r="H395" s="135"/>
      <c r="I395" s="135"/>
      <c r="J395" s="24"/>
      <c r="K395" s="24"/>
      <c r="L395" s="124"/>
      <c r="M395" s="124"/>
    </row>
    <row r="396" ht="15.75" customHeight="1">
      <c r="H396" s="135"/>
      <c r="I396" s="135"/>
      <c r="J396" s="24"/>
      <c r="K396" s="24"/>
      <c r="L396" s="124"/>
      <c r="M396" s="124"/>
    </row>
    <row r="397" ht="15.75" customHeight="1">
      <c r="H397" s="135"/>
      <c r="I397" s="135"/>
      <c r="J397" s="24"/>
      <c r="K397" s="24"/>
      <c r="L397" s="124"/>
      <c r="M397" s="124"/>
    </row>
    <row r="398" ht="15.75" customHeight="1">
      <c r="H398" s="135"/>
      <c r="I398" s="135"/>
      <c r="J398" s="24"/>
      <c r="K398" s="24"/>
      <c r="L398" s="124"/>
      <c r="M398" s="124"/>
    </row>
    <row r="399" ht="15.75" customHeight="1">
      <c r="H399" s="135"/>
      <c r="I399" s="135"/>
      <c r="J399" s="24"/>
      <c r="K399" s="24"/>
      <c r="L399" s="124"/>
      <c r="M399" s="124"/>
    </row>
    <row r="400" ht="15.75" customHeight="1">
      <c r="H400" s="135"/>
      <c r="I400" s="135"/>
      <c r="J400" s="24"/>
      <c r="K400" s="24"/>
      <c r="L400" s="124"/>
      <c r="M400" s="124"/>
    </row>
    <row r="401" ht="15.75" customHeight="1">
      <c r="H401" s="135"/>
      <c r="I401" s="135"/>
      <c r="J401" s="24"/>
      <c r="K401" s="24"/>
      <c r="L401" s="124"/>
      <c r="M401" s="124"/>
    </row>
    <row r="402" ht="15.75" customHeight="1">
      <c r="H402" s="135"/>
      <c r="I402" s="135"/>
      <c r="J402" s="24"/>
      <c r="K402" s="24"/>
      <c r="L402" s="124"/>
      <c r="M402" s="124"/>
    </row>
    <row r="403" ht="15.75" customHeight="1">
      <c r="H403" s="135"/>
      <c r="I403" s="135"/>
      <c r="J403" s="135"/>
      <c r="K403" s="135"/>
      <c r="L403" s="135"/>
      <c r="M403" s="135"/>
    </row>
    <row r="404" ht="15.75" customHeight="1">
      <c r="H404" s="135"/>
      <c r="I404" s="135"/>
      <c r="J404" s="135"/>
      <c r="K404" s="135"/>
      <c r="L404" s="135"/>
      <c r="M404" s="135"/>
    </row>
    <row r="405" ht="15.75" customHeight="1">
      <c r="H405" s="135"/>
      <c r="I405" s="135"/>
      <c r="J405" s="135"/>
      <c r="K405" s="135"/>
      <c r="L405" s="135"/>
      <c r="M405" s="135"/>
    </row>
    <row r="406" ht="15.75" customHeight="1">
      <c r="H406" s="135"/>
      <c r="I406" s="135"/>
      <c r="J406" s="135"/>
      <c r="K406" s="135"/>
      <c r="L406" s="135"/>
      <c r="M406" s="135"/>
    </row>
    <row r="407" ht="15.75" customHeight="1">
      <c r="H407" s="135"/>
      <c r="I407" s="135"/>
      <c r="J407" s="135"/>
      <c r="K407" s="135"/>
      <c r="L407" s="135"/>
      <c r="M407" s="135"/>
    </row>
    <row r="408" ht="15.75" customHeight="1">
      <c r="H408" s="135"/>
      <c r="I408" s="135"/>
      <c r="J408" s="135"/>
      <c r="K408" s="135"/>
      <c r="L408" s="135"/>
      <c r="M408" s="135"/>
    </row>
    <row r="409" ht="15.75" customHeight="1">
      <c r="H409" s="135"/>
      <c r="I409" s="135"/>
      <c r="J409" s="135"/>
      <c r="K409" s="135"/>
      <c r="L409" s="135"/>
      <c r="M409" s="135"/>
    </row>
    <row r="410" ht="15.75" customHeight="1">
      <c r="H410" s="135"/>
      <c r="I410" s="135"/>
      <c r="J410" s="135"/>
      <c r="K410" s="135"/>
      <c r="L410" s="135"/>
      <c r="M410" s="135"/>
    </row>
    <row r="411" ht="15.75" customHeight="1">
      <c r="H411" s="135"/>
      <c r="I411" s="135"/>
      <c r="J411" s="135"/>
      <c r="K411" s="135"/>
      <c r="L411" s="135"/>
      <c r="M411" s="135"/>
    </row>
    <row r="412" ht="15.75" customHeight="1">
      <c r="H412" s="135"/>
      <c r="I412" s="135"/>
      <c r="J412" s="135"/>
      <c r="K412" s="135"/>
      <c r="L412" s="135"/>
      <c r="M412" s="135"/>
    </row>
    <row r="413" ht="15.75" customHeight="1">
      <c r="H413" s="135"/>
      <c r="I413" s="135"/>
      <c r="J413" s="135"/>
      <c r="K413" s="135"/>
      <c r="L413" s="135"/>
      <c r="M413" s="135"/>
    </row>
    <row r="414" ht="15.75" customHeight="1">
      <c r="H414" s="135"/>
      <c r="I414" s="135"/>
      <c r="J414" s="135"/>
      <c r="K414" s="135"/>
      <c r="L414" s="135"/>
      <c r="M414" s="135"/>
    </row>
    <row r="415" ht="15.75" customHeight="1">
      <c r="H415" s="135"/>
      <c r="I415" s="135"/>
      <c r="J415" s="135"/>
      <c r="K415" s="135"/>
      <c r="L415" s="135"/>
      <c r="M415" s="135"/>
    </row>
    <row r="416" ht="15.75" customHeight="1">
      <c r="H416" s="135"/>
      <c r="I416" s="135"/>
      <c r="J416" s="135"/>
      <c r="K416" s="135"/>
      <c r="L416" s="135"/>
      <c r="M416" s="135"/>
    </row>
    <row r="417" ht="15.75" customHeight="1">
      <c r="H417" s="135"/>
      <c r="I417" s="135"/>
      <c r="J417" s="135"/>
      <c r="K417" s="135"/>
      <c r="L417" s="135"/>
      <c r="M417" s="135"/>
    </row>
    <row r="418" ht="15.75" customHeight="1">
      <c r="H418" s="135"/>
      <c r="I418" s="135"/>
      <c r="J418" s="135"/>
      <c r="K418" s="135"/>
      <c r="L418" s="135"/>
      <c r="M418" s="135"/>
    </row>
    <row r="419" ht="15.75" customHeight="1">
      <c r="H419" s="135"/>
      <c r="I419" s="135"/>
      <c r="J419" s="135"/>
      <c r="K419" s="135"/>
      <c r="L419" s="135"/>
      <c r="M419" s="135"/>
    </row>
    <row r="420" ht="15.75" customHeight="1">
      <c r="H420" s="135"/>
      <c r="I420" s="135"/>
      <c r="J420" s="135"/>
      <c r="K420" s="135"/>
      <c r="L420" s="135"/>
      <c r="M420" s="135"/>
    </row>
    <row r="421" ht="15.75" customHeight="1">
      <c r="H421" s="135"/>
      <c r="I421" s="135"/>
      <c r="J421" s="135"/>
      <c r="K421" s="135"/>
      <c r="L421" s="135"/>
      <c r="M421" s="135"/>
    </row>
    <row r="422" ht="15.75" customHeight="1">
      <c r="H422" s="135"/>
      <c r="I422" s="135"/>
      <c r="J422" s="135"/>
      <c r="K422" s="135"/>
      <c r="L422" s="135"/>
      <c r="M422" s="135"/>
    </row>
    <row r="423" ht="15.75" customHeight="1">
      <c r="H423" s="135"/>
      <c r="I423" s="135"/>
      <c r="J423" s="135"/>
      <c r="K423" s="135"/>
      <c r="L423" s="135"/>
      <c r="M423" s="135"/>
    </row>
    <row r="424" ht="15.75" customHeight="1">
      <c r="H424" s="135"/>
      <c r="I424" s="135"/>
      <c r="J424" s="135"/>
      <c r="K424" s="135"/>
      <c r="L424" s="135"/>
      <c r="M424" s="135"/>
    </row>
    <row r="425" ht="15.75" customHeight="1">
      <c r="H425" s="135"/>
      <c r="I425" s="135"/>
      <c r="J425" s="135"/>
      <c r="K425" s="135"/>
      <c r="L425" s="135"/>
      <c r="M425" s="135"/>
    </row>
    <row r="426" ht="15.75" customHeight="1">
      <c r="H426" s="135"/>
      <c r="I426" s="135"/>
      <c r="J426" s="135"/>
      <c r="K426" s="135"/>
      <c r="L426" s="135"/>
      <c r="M426" s="135"/>
    </row>
    <row r="427" ht="15.75" customHeight="1">
      <c r="H427" s="135"/>
      <c r="I427" s="135"/>
      <c r="J427" s="135"/>
      <c r="K427" s="135"/>
      <c r="L427" s="135"/>
      <c r="M427" s="135"/>
    </row>
    <row r="428" ht="15.75" customHeight="1">
      <c r="H428" s="135"/>
      <c r="I428" s="135"/>
      <c r="J428" s="135"/>
      <c r="K428" s="135"/>
      <c r="L428" s="135"/>
      <c r="M428" s="135"/>
    </row>
    <row r="429" ht="15.75" customHeight="1">
      <c r="H429" s="135"/>
      <c r="I429" s="135"/>
      <c r="J429" s="135"/>
      <c r="K429" s="135"/>
      <c r="L429" s="135"/>
      <c r="M429" s="135"/>
    </row>
    <row r="430" ht="15.75" customHeight="1">
      <c r="H430" s="135"/>
      <c r="I430" s="135"/>
      <c r="J430" s="135"/>
      <c r="K430" s="135"/>
      <c r="L430" s="135"/>
      <c r="M430" s="135"/>
    </row>
    <row r="431" ht="15.75" customHeight="1">
      <c r="H431" s="135"/>
      <c r="I431" s="135"/>
      <c r="J431" s="135"/>
      <c r="K431" s="135"/>
      <c r="L431" s="135"/>
      <c r="M431" s="135"/>
    </row>
    <row r="432" ht="15.75" customHeight="1">
      <c r="H432" s="135"/>
      <c r="I432" s="135"/>
      <c r="J432" s="135"/>
      <c r="K432" s="135"/>
      <c r="L432" s="135"/>
      <c r="M432" s="135"/>
    </row>
    <row r="433" ht="15.75" customHeight="1">
      <c r="H433" s="135"/>
      <c r="I433" s="135"/>
      <c r="J433" s="135"/>
      <c r="K433" s="135"/>
      <c r="L433" s="135"/>
      <c r="M433" s="135"/>
    </row>
    <row r="434" ht="15.75" customHeight="1">
      <c r="H434" s="135"/>
      <c r="I434" s="135"/>
      <c r="J434" s="135"/>
      <c r="K434" s="135"/>
      <c r="L434" s="135"/>
      <c r="M434" s="135"/>
    </row>
    <row r="435" ht="15.75" customHeight="1">
      <c r="H435" s="135"/>
      <c r="I435" s="135"/>
      <c r="J435" s="135"/>
      <c r="K435" s="135"/>
      <c r="L435" s="135"/>
      <c r="M435" s="135"/>
    </row>
    <row r="436" ht="15.75" customHeight="1">
      <c r="H436" s="135"/>
      <c r="I436" s="135"/>
      <c r="J436" s="135"/>
      <c r="K436" s="135"/>
      <c r="L436" s="135"/>
      <c r="M436" s="135"/>
    </row>
    <row r="437" ht="15.75" customHeight="1">
      <c r="H437" s="135"/>
      <c r="I437" s="135"/>
      <c r="J437" s="135"/>
      <c r="K437" s="135"/>
      <c r="L437" s="135"/>
      <c r="M437" s="135"/>
    </row>
    <row r="438" ht="15.75" customHeight="1">
      <c r="H438" s="135"/>
      <c r="I438" s="135"/>
      <c r="J438" s="135"/>
      <c r="K438" s="135"/>
      <c r="L438" s="135"/>
      <c r="M438" s="135"/>
    </row>
    <row r="439" ht="15.75" customHeight="1">
      <c r="H439" s="135"/>
      <c r="I439" s="135"/>
      <c r="J439" s="135"/>
      <c r="K439" s="135"/>
      <c r="L439" s="135"/>
      <c r="M439" s="135"/>
    </row>
    <row r="440" ht="15.75" customHeight="1">
      <c r="H440" s="135"/>
      <c r="I440" s="135"/>
      <c r="J440" s="135"/>
      <c r="K440" s="135"/>
      <c r="L440" s="135"/>
      <c r="M440" s="135"/>
    </row>
    <row r="441" ht="15.75" customHeight="1">
      <c r="H441" s="135"/>
      <c r="I441" s="135"/>
      <c r="J441" s="135"/>
      <c r="K441" s="135"/>
      <c r="L441" s="135"/>
      <c r="M441" s="135"/>
    </row>
    <row r="442" ht="15.75" customHeight="1">
      <c r="H442" s="135"/>
      <c r="I442" s="135"/>
      <c r="J442" s="135"/>
      <c r="K442" s="135"/>
      <c r="L442" s="135"/>
      <c r="M442" s="135"/>
    </row>
    <row r="443" ht="15.75" customHeight="1">
      <c r="H443" s="135"/>
      <c r="I443" s="135"/>
      <c r="J443" s="135"/>
      <c r="K443" s="135"/>
      <c r="L443" s="135"/>
      <c r="M443" s="135"/>
    </row>
    <row r="444" ht="15.75" customHeight="1">
      <c r="H444" s="135"/>
      <c r="I444" s="135"/>
      <c r="J444" s="135"/>
      <c r="K444" s="135"/>
      <c r="L444" s="135"/>
      <c r="M444" s="135"/>
    </row>
    <row r="445" ht="15.75" customHeight="1">
      <c r="H445" s="135"/>
      <c r="I445" s="135"/>
      <c r="J445" s="135"/>
      <c r="K445" s="135"/>
      <c r="L445" s="135"/>
      <c r="M445" s="135"/>
    </row>
    <row r="446" ht="15.75" customHeight="1">
      <c r="H446" s="135"/>
      <c r="I446" s="135"/>
      <c r="J446" s="135"/>
      <c r="K446" s="135"/>
      <c r="L446" s="135"/>
      <c r="M446" s="135"/>
    </row>
    <row r="447" ht="15.75" customHeight="1">
      <c r="H447" s="135"/>
      <c r="I447" s="135"/>
      <c r="J447" s="135"/>
      <c r="K447" s="135"/>
      <c r="L447" s="135"/>
      <c r="M447" s="135"/>
    </row>
    <row r="448" ht="15.75" customHeight="1">
      <c r="H448" s="135"/>
      <c r="I448" s="135"/>
      <c r="J448" s="135"/>
      <c r="K448" s="135"/>
      <c r="L448" s="135"/>
      <c r="M448" s="135"/>
    </row>
    <row r="449" ht="15.75" customHeight="1">
      <c r="H449" s="135"/>
      <c r="I449" s="135"/>
      <c r="J449" s="135"/>
      <c r="K449" s="135"/>
      <c r="L449" s="135"/>
      <c r="M449" s="135"/>
    </row>
    <row r="450" ht="15.75" customHeight="1">
      <c r="H450" s="135"/>
      <c r="I450" s="135"/>
      <c r="J450" s="135"/>
      <c r="K450" s="135"/>
      <c r="L450" s="135"/>
      <c r="M450" s="135"/>
    </row>
    <row r="451" ht="15.75" customHeight="1">
      <c r="H451" s="135"/>
      <c r="I451" s="135"/>
      <c r="J451" s="135"/>
      <c r="K451" s="135"/>
      <c r="L451" s="135"/>
      <c r="M451" s="135"/>
    </row>
    <row r="452" ht="15.75" customHeight="1">
      <c r="H452" s="135"/>
      <c r="I452" s="135"/>
      <c r="J452" s="135"/>
      <c r="K452" s="135"/>
      <c r="L452" s="135"/>
      <c r="M452" s="135"/>
    </row>
    <row r="453" ht="15.75" customHeight="1">
      <c r="H453" s="135"/>
      <c r="I453" s="135"/>
      <c r="J453" s="135"/>
      <c r="K453" s="135"/>
      <c r="L453" s="135"/>
      <c r="M453" s="135"/>
    </row>
    <row r="454" ht="15.75" customHeight="1">
      <c r="H454" s="135"/>
      <c r="I454" s="135"/>
      <c r="J454" s="135"/>
      <c r="K454" s="135"/>
      <c r="L454" s="135"/>
      <c r="M454" s="135"/>
    </row>
    <row r="455" ht="15.75" customHeight="1">
      <c r="H455" s="135"/>
      <c r="I455" s="135"/>
      <c r="J455" s="135"/>
      <c r="K455" s="135"/>
      <c r="L455" s="135"/>
      <c r="M455" s="135"/>
    </row>
    <row r="456" ht="15.75" customHeight="1">
      <c r="H456" s="135"/>
      <c r="I456" s="135"/>
      <c r="J456" s="135"/>
      <c r="K456" s="135"/>
      <c r="L456" s="135"/>
      <c r="M456" s="135"/>
    </row>
    <row r="457" ht="15.75" customHeight="1">
      <c r="H457" s="135"/>
      <c r="I457" s="135"/>
      <c r="J457" s="135"/>
      <c r="K457" s="135"/>
      <c r="L457" s="135"/>
      <c r="M457" s="135"/>
    </row>
    <row r="458" ht="15.75" customHeight="1">
      <c r="H458" s="135"/>
      <c r="I458" s="135"/>
      <c r="J458" s="135"/>
      <c r="K458" s="135"/>
      <c r="L458" s="135"/>
      <c r="M458" s="135"/>
    </row>
    <row r="459" ht="15.75" customHeight="1">
      <c r="H459" s="135"/>
      <c r="I459" s="135"/>
      <c r="J459" s="135"/>
      <c r="K459" s="135"/>
      <c r="L459" s="135"/>
      <c r="M459" s="135"/>
    </row>
    <row r="460" ht="15.75" customHeight="1">
      <c r="H460" s="135"/>
      <c r="I460" s="135"/>
      <c r="J460" s="135"/>
      <c r="K460" s="135"/>
      <c r="L460" s="135"/>
      <c r="M460" s="135"/>
    </row>
    <row r="461" ht="15.75" customHeight="1">
      <c r="H461" s="135"/>
      <c r="I461" s="135"/>
      <c r="J461" s="135"/>
      <c r="K461" s="135"/>
      <c r="L461" s="135"/>
      <c r="M461" s="135"/>
    </row>
    <row r="462" ht="15.75" customHeight="1">
      <c r="H462" s="135"/>
      <c r="I462" s="135"/>
      <c r="J462" s="135"/>
      <c r="K462" s="135"/>
      <c r="L462" s="135"/>
      <c r="M462" s="135"/>
    </row>
    <row r="463" ht="15.75" customHeight="1">
      <c r="H463" s="135"/>
      <c r="I463" s="135"/>
      <c r="J463" s="135"/>
      <c r="K463" s="135"/>
      <c r="L463" s="135"/>
      <c r="M463" s="135"/>
    </row>
    <row r="464" ht="15.75" customHeight="1">
      <c r="H464" s="135"/>
      <c r="I464" s="135"/>
      <c r="J464" s="135"/>
      <c r="K464" s="135"/>
      <c r="L464" s="135"/>
      <c r="M464" s="135"/>
    </row>
    <row r="465" ht="15.75" customHeight="1">
      <c r="H465" s="135"/>
      <c r="I465" s="135"/>
      <c r="J465" s="135"/>
      <c r="K465" s="135"/>
      <c r="L465" s="135"/>
      <c r="M465" s="135"/>
    </row>
    <row r="466" ht="15.75" customHeight="1">
      <c r="H466" s="135"/>
      <c r="I466" s="135"/>
      <c r="J466" s="135"/>
      <c r="K466" s="135"/>
      <c r="L466" s="135"/>
      <c r="M466" s="135"/>
    </row>
    <row r="467" ht="15.75" customHeight="1">
      <c r="H467" s="135"/>
      <c r="I467" s="135"/>
      <c r="J467" s="135"/>
      <c r="K467" s="135"/>
      <c r="L467" s="135"/>
      <c r="M467" s="135"/>
    </row>
    <row r="468" ht="15.75" customHeight="1">
      <c r="H468" s="135"/>
      <c r="I468" s="135"/>
      <c r="J468" s="135"/>
      <c r="K468" s="135"/>
      <c r="L468" s="135"/>
      <c r="M468" s="135"/>
    </row>
    <row r="469" ht="15.75" customHeight="1">
      <c r="H469" s="135"/>
      <c r="I469" s="135"/>
      <c r="J469" s="135"/>
      <c r="K469" s="135"/>
      <c r="L469" s="135"/>
      <c r="M469" s="135"/>
    </row>
    <row r="470" ht="15.75" customHeight="1">
      <c r="H470" s="135"/>
      <c r="I470" s="135"/>
      <c r="J470" s="135"/>
      <c r="K470" s="135"/>
      <c r="L470" s="135"/>
      <c r="M470" s="135"/>
    </row>
    <row r="471" ht="15.75" customHeight="1">
      <c r="H471" s="135"/>
      <c r="I471" s="135"/>
      <c r="J471" s="135"/>
      <c r="K471" s="135"/>
      <c r="L471" s="135"/>
      <c r="M471" s="135"/>
    </row>
    <row r="472" ht="15.75" customHeight="1">
      <c r="H472" s="135"/>
      <c r="I472" s="135"/>
      <c r="J472" s="135"/>
      <c r="K472" s="135"/>
      <c r="L472" s="135"/>
      <c r="M472" s="135"/>
    </row>
    <row r="473" ht="15.75" customHeight="1">
      <c r="H473" s="135"/>
      <c r="I473" s="135"/>
      <c r="J473" s="135"/>
      <c r="K473" s="135"/>
      <c r="L473" s="135"/>
      <c r="M473" s="135"/>
    </row>
    <row r="474" ht="15.75" customHeight="1">
      <c r="H474" s="135"/>
      <c r="I474" s="135"/>
      <c r="J474" s="135"/>
      <c r="K474" s="135"/>
      <c r="L474" s="135"/>
      <c r="M474" s="135"/>
    </row>
    <row r="475" ht="15.75" customHeight="1">
      <c r="H475" s="135"/>
      <c r="I475" s="135"/>
      <c r="J475" s="135"/>
      <c r="K475" s="135"/>
      <c r="L475" s="135"/>
      <c r="M475" s="135"/>
    </row>
    <row r="476" ht="15.75" customHeight="1">
      <c r="H476" s="135"/>
      <c r="I476" s="135"/>
      <c r="J476" s="135"/>
      <c r="K476" s="135"/>
      <c r="L476" s="135"/>
      <c r="M476" s="135"/>
    </row>
    <row r="477" ht="15.75" customHeight="1">
      <c r="H477" s="135"/>
      <c r="I477" s="135"/>
      <c r="J477" s="135"/>
      <c r="K477" s="135"/>
      <c r="L477" s="135"/>
      <c r="M477" s="135"/>
    </row>
    <row r="478" ht="15.75" customHeight="1">
      <c r="H478" s="135"/>
      <c r="I478" s="135"/>
      <c r="J478" s="135"/>
      <c r="K478" s="135"/>
      <c r="L478" s="135"/>
      <c r="M478" s="135"/>
    </row>
    <row r="479" ht="15.75" customHeight="1">
      <c r="H479" s="135"/>
      <c r="I479" s="135"/>
      <c r="J479" s="135"/>
      <c r="K479" s="135"/>
      <c r="L479" s="135"/>
      <c r="M479" s="135"/>
    </row>
    <row r="480" ht="15.75" customHeight="1">
      <c r="H480" s="135"/>
      <c r="I480" s="135"/>
      <c r="J480" s="135"/>
      <c r="K480" s="135"/>
      <c r="L480" s="135"/>
      <c r="M480" s="135"/>
    </row>
    <row r="481" ht="15.75" customHeight="1">
      <c r="H481" s="135"/>
      <c r="I481" s="135"/>
      <c r="J481" s="135"/>
      <c r="K481" s="135"/>
      <c r="L481" s="135"/>
      <c r="M481" s="135"/>
    </row>
    <row r="482" ht="15.75" customHeight="1">
      <c r="H482" s="135"/>
      <c r="I482" s="135"/>
      <c r="J482" s="135"/>
      <c r="K482" s="135"/>
      <c r="L482" s="135"/>
      <c r="M482" s="135"/>
    </row>
    <row r="483" ht="15.75" customHeight="1">
      <c r="H483" s="135"/>
      <c r="I483" s="135"/>
      <c r="J483" s="135"/>
      <c r="K483" s="135"/>
      <c r="L483" s="135"/>
      <c r="M483" s="135"/>
    </row>
    <row r="484" ht="15.75" customHeight="1">
      <c r="H484" s="135"/>
      <c r="I484" s="135"/>
      <c r="J484" s="135"/>
      <c r="K484" s="135"/>
      <c r="L484" s="135"/>
      <c r="M484" s="135"/>
    </row>
    <row r="485" ht="15.75" customHeight="1">
      <c r="H485" s="135"/>
      <c r="I485" s="135"/>
      <c r="J485" s="135"/>
      <c r="K485" s="135"/>
      <c r="L485" s="135"/>
      <c r="M485" s="135"/>
    </row>
    <row r="486" ht="15.75" customHeight="1">
      <c r="H486" s="135"/>
      <c r="I486" s="135"/>
      <c r="J486" s="135"/>
      <c r="K486" s="135"/>
      <c r="L486" s="135"/>
      <c r="M486" s="135"/>
    </row>
    <row r="487" ht="15.75" customHeight="1">
      <c r="H487" s="135"/>
      <c r="I487" s="135"/>
      <c r="J487" s="135"/>
      <c r="K487" s="135"/>
      <c r="L487" s="135"/>
      <c r="M487" s="135"/>
    </row>
    <row r="488" ht="15.75" customHeight="1">
      <c r="H488" s="135"/>
      <c r="I488" s="135"/>
      <c r="J488" s="135"/>
      <c r="K488" s="135"/>
      <c r="L488" s="135"/>
      <c r="M488" s="135"/>
    </row>
    <row r="489" ht="15.75" customHeight="1">
      <c r="H489" s="135"/>
      <c r="I489" s="135"/>
      <c r="J489" s="135"/>
      <c r="K489" s="135"/>
      <c r="L489" s="135"/>
      <c r="M489" s="135"/>
    </row>
    <row r="490" ht="15.75" customHeight="1">
      <c r="H490" s="135"/>
      <c r="I490" s="135"/>
      <c r="J490" s="135"/>
      <c r="K490" s="135"/>
      <c r="L490" s="135"/>
      <c r="M490" s="135"/>
    </row>
    <row r="491" ht="15.75" customHeight="1">
      <c r="H491" s="135"/>
      <c r="I491" s="135"/>
      <c r="J491" s="135"/>
      <c r="K491" s="135"/>
      <c r="L491" s="135"/>
      <c r="M491" s="135"/>
    </row>
    <row r="492" ht="15.75" customHeight="1">
      <c r="H492" s="135"/>
      <c r="I492" s="135"/>
      <c r="J492" s="135"/>
      <c r="K492" s="135"/>
      <c r="L492" s="135"/>
      <c r="M492" s="135"/>
    </row>
    <row r="493" ht="15.75" customHeight="1">
      <c r="H493" s="135"/>
      <c r="I493" s="135"/>
      <c r="J493" s="135"/>
      <c r="K493" s="135"/>
      <c r="L493" s="135"/>
      <c r="M493" s="135"/>
    </row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autoFilter ref="$A$1:$N$1"/>
  <mergeCells count="5">
    <mergeCell ref="A2:N2"/>
    <mergeCell ref="A3:N3"/>
    <mergeCell ref="A168:N168"/>
    <mergeCell ref="A174:N174"/>
    <mergeCell ref="A187:N187"/>
  </mergeCells>
  <dataValidations>
    <dataValidation type="list" allowBlank="1" sqref="H4:H166 H167:I167 H169 H170:I173 H175:H186 H188:H190 H191:I402 H403:M493">
      <formula1>"active,deprecated,unreleased"</formula1>
    </dataValidation>
    <dataValidation type="list" allowBlank="1" sqref="I4:I166 I169 I175:I186 I188:I190">
      <formula1>"Post-Race Rewards,Goal Rewards,City Completion,Achievement,Loot Crate,Car Defaults,Shop Purchase"</formula1>
    </dataValidation>
    <dataValidation type="list" allowBlank="1" sqref="G4:G166 G169 G175:G186 G188:G190">
      <formula1>"Common,UnCommon,Rare"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9.57"/>
    <col customWidth="1" min="2" max="2" width="18.0"/>
    <col customWidth="1" min="3" max="3" width="15.57"/>
    <col customWidth="1" min="4" max="4" width="23.14"/>
    <col customWidth="1" min="5" max="5" width="16.43"/>
    <col customWidth="1" min="6" max="6" width="24.86"/>
    <col customWidth="1" min="7" max="7" width="16.57"/>
    <col customWidth="1" min="8" max="8" width="30.0"/>
    <col customWidth="1" min="9" max="9" width="16.71"/>
    <col customWidth="1" min="10" max="10" width="24.0"/>
    <col customWidth="1" min="11" max="11" width="16.57"/>
    <col customWidth="1" min="12" max="12" width="28.0"/>
    <col customWidth="1" min="13" max="13" width="16.86"/>
    <col customWidth="1" min="14" max="14" width="24.29"/>
  </cols>
  <sheetData>
    <row r="1" ht="30.0" customHeight="1">
      <c r="A1" s="136" t="s">
        <v>548</v>
      </c>
      <c r="B1" s="136" t="s">
        <v>549</v>
      </c>
      <c r="C1" s="136" t="s">
        <v>550</v>
      </c>
      <c r="D1" s="136" t="s">
        <v>551</v>
      </c>
      <c r="E1" s="136" t="s">
        <v>552</v>
      </c>
      <c r="F1" s="136" t="s">
        <v>553</v>
      </c>
      <c r="G1" s="136" t="s">
        <v>554</v>
      </c>
      <c r="H1" s="136" t="s">
        <v>555</v>
      </c>
      <c r="I1" s="136" t="s">
        <v>556</v>
      </c>
      <c r="J1" s="136" t="s">
        <v>557</v>
      </c>
      <c r="K1" s="136" t="s">
        <v>558</v>
      </c>
      <c r="L1" s="136" t="s">
        <v>559</v>
      </c>
      <c r="M1" s="136" t="s">
        <v>560</v>
      </c>
      <c r="N1" s="136" t="s">
        <v>561</v>
      </c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7"/>
    </row>
    <row r="2">
      <c r="A2" s="138" t="s">
        <v>562</v>
      </c>
      <c r="B2" s="139" t="s">
        <v>414</v>
      </c>
      <c r="C2" s="140" t="str">
        <f>IFERROR(VLOOKUP(B2,ITEM_VISUAL!A:D,4,0),"?")</f>
        <v>car_vin_1</v>
      </c>
      <c r="D2" s="138" t="s">
        <v>563</v>
      </c>
      <c r="E2" s="141" t="s">
        <v>139</v>
      </c>
      <c r="F2" s="138" t="s">
        <v>563</v>
      </c>
      <c r="G2" s="141" t="s">
        <v>149</v>
      </c>
      <c r="H2" s="138" t="s">
        <v>563</v>
      </c>
      <c r="I2" s="141" t="s">
        <v>564</v>
      </c>
      <c r="J2" s="138" t="s">
        <v>563</v>
      </c>
      <c r="K2" s="141" t="s">
        <v>157</v>
      </c>
      <c r="L2" s="138" t="s">
        <v>563</v>
      </c>
      <c r="M2" s="141" t="s">
        <v>153</v>
      </c>
      <c r="N2" s="138" t="s">
        <v>563</v>
      </c>
    </row>
    <row r="3">
      <c r="A3" s="142" t="s">
        <v>565</v>
      </c>
      <c r="B3" s="143" t="s">
        <v>414</v>
      </c>
      <c r="C3" s="144" t="str">
        <f>IFERROR(VLOOKUP(B3,ITEM_VISUAL!A:D,4,0),"?")</f>
        <v>car_vin_1</v>
      </c>
      <c r="D3" s="142" t="s">
        <v>566</v>
      </c>
      <c r="E3" s="142" t="s">
        <v>169</v>
      </c>
      <c r="F3" s="142" t="s">
        <v>566</v>
      </c>
      <c r="G3" s="142" t="s">
        <v>175</v>
      </c>
      <c r="H3" s="142" t="s">
        <v>566</v>
      </c>
      <c r="I3" s="142" t="s">
        <v>567</v>
      </c>
      <c r="J3" s="142" t="s">
        <v>566</v>
      </c>
      <c r="K3" s="142" t="s">
        <v>183</v>
      </c>
      <c r="L3" s="142" t="s">
        <v>566</v>
      </c>
      <c r="M3" s="142" t="s">
        <v>179</v>
      </c>
      <c r="N3" s="142" t="s">
        <v>566</v>
      </c>
      <c r="O3" s="145"/>
      <c r="P3" s="145"/>
      <c r="Q3" s="145"/>
      <c r="R3" s="145"/>
      <c r="S3" s="146"/>
    </row>
    <row r="4" ht="15.75" customHeight="1">
      <c r="A4" s="138" t="s">
        <v>568</v>
      </c>
      <c r="B4" s="139" t="s">
        <v>414</v>
      </c>
      <c r="C4" s="140" t="str">
        <f>IFERROR(VLOOKUP(B4,ITEM_VISUAL!A:D,4,0),"?")</f>
        <v>car_vin_1</v>
      </c>
      <c r="D4" s="138" t="s">
        <v>569</v>
      </c>
      <c r="E4" s="138" t="s">
        <v>195</v>
      </c>
      <c r="F4" s="138" t="s">
        <v>569</v>
      </c>
      <c r="G4" s="138" t="s">
        <v>200</v>
      </c>
      <c r="H4" s="138" t="s">
        <v>569</v>
      </c>
      <c r="I4" s="138" t="s">
        <v>570</v>
      </c>
      <c r="J4" s="138" t="s">
        <v>569</v>
      </c>
      <c r="K4" s="138" t="s">
        <v>208</v>
      </c>
      <c r="L4" s="138" t="s">
        <v>569</v>
      </c>
      <c r="M4" s="138" t="s">
        <v>204</v>
      </c>
      <c r="N4" s="138" t="s">
        <v>569</v>
      </c>
    </row>
    <row r="5">
      <c r="A5" s="142" t="s">
        <v>571</v>
      </c>
      <c r="B5" s="143" t="s">
        <v>421</v>
      </c>
      <c r="C5" s="144" t="str">
        <f>IFERROR(VLOOKUP(B5,ITEM_VISUAL!A:D,4,0),"?")</f>
        <v>car_vin_1</v>
      </c>
      <c r="D5" s="142" t="s">
        <v>572</v>
      </c>
      <c r="E5" s="147" t="s">
        <v>139</v>
      </c>
      <c r="F5" s="142" t="s">
        <v>572</v>
      </c>
      <c r="G5" s="147" t="s">
        <v>149</v>
      </c>
      <c r="H5" s="142" t="s">
        <v>572</v>
      </c>
      <c r="I5" s="147" t="s">
        <v>564</v>
      </c>
      <c r="J5" s="142" t="s">
        <v>572</v>
      </c>
      <c r="K5" s="147" t="s">
        <v>157</v>
      </c>
      <c r="L5" s="142" t="s">
        <v>572</v>
      </c>
      <c r="M5" s="147" t="s">
        <v>153</v>
      </c>
      <c r="N5" s="142" t="s">
        <v>572</v>
      </c>
      <c r="O5" s="148"/>
      <c r="P5" s="148"/>
      <c r="Q5" s="148"/>
      <c r="R5" s="148"/>
      <c r="S5" s="149"/>
    </row>
    <row r="6">
      <c r="A6" s="138" t="s">
        <v>573</v>
      </c>
      <c r="B6" s="139" t="s">
        <v>421</v>
      </c>
      <c r="C6" s="140" t="str">
        <f>IFERROR(VLOOKUP(B6,ITEM_VISUAL!A:D,4,0),"?")</f>
        <v>car_vin_1</v>
      </c>
      <c r="D6" s="138" t="s">
        <v>574</v>
      </c>
      <c r="E6" s="138" t="s">
        <v>169</v>
      </c>
      <c r="F6" s="138" t="s">
        <v>574</v>
      </c>
      <c r="G6" s="138" t="s">
        <v>175</v>
      </c>
      <c r="H6" s="138" t="s">
        <v>574</v>
      </c>
      <c r="I6" s="138" t="s">
        <v>567</v>
      </c>
      <c r="J6" s="138" t="s">
        <v>574</v>
      </c>
      <c r="K6" s="138" t="s">
        <v>183</v>
      </c>
      <c r="L6" s="138" t="s">
        <v>574</v>
      </c>
      <c r="M6" s="138" t="s">
        <v>179</v>
      </c>
      <c r="N6" s="138" t="s">
        <v>574</v>
      </c>
      <c r="O6" s="148"/>
      <c r="P6" s="148"/>
      <c r="Q6" s="148"/>
      <c r="R6" s="148"/>
      <c r="S6" s="149"/>
    </row>
    <row r="7">
      <c r="A7" s="142" t="s">
        <v>575</v>
      </c>
      <c r="B7" s="143" t="s">
        <v>421</v>
      </c>
      <c r="C7" s="144" t="str">
        <f>IFERROR(VLOOKUP(B7,ITEM_VISUAL!A:D,4,0),"?")</f>
        <v>car_vin_1</v>
      </c>
      <c r="D7" s="142" t="s">
        <v>576</v>
      </c>
      <c r="E7" s="142" t="s">
        <v>195</v>
      </c>
      <c r="F7" s="142" t="s">
        <v>576</v>
      </c>
      <c r="G7" s="142" t="s">
        <v>200</v>
      </c>
      <c r="H7" s="142" t="s">
        <v>576</v>
      </c>
      <c r="I7" s="142" t="s">
        <v>570</v>
      </c>
      <c r="J7" s="142" t="s">
        <v>576</v>
      </c>
      <c r="K7" s="142" t="s">
        <v>208</v>
      </c>
      <c r="L7" s="142" t="s">
        <v>576</v>
      </c>
      <c r="M7" s="142" t="s">
        <v>204</v>
      </c>
      <c r="N7" s="142" t="s">
        <v>576</v>
      </c>
      <c r="O7" s="148"/>
      <c r="P7" s="148"/>
      <c r="Q7" s="148"/>
      <c r="R7" s="148"/>
      <c r="S7" s="149"/>
    </row>
    <row r="8">
      <c r="A8" s="138" t="s">
        <v>577</v>
      </c>
      <c r="B8" s="139" t="s">
        <v>425</v>
      </c>
      <c r="C8" s="140" t="str">
        <f>IFERROR(VLOOKUP(B8,ITEM_VISUAL!A:D,4,0),"?")</f>
        <v>car_vin_1</v>
      </c>
      <c r="D8" s="138" t="s">
        <v>578</v>
      </c>
      <c r="E8" s="141" t="s">
        <v>139</v>
      </c>
      <c r="F8" s="138" t="s">
        <v>578</v>
      </c>
      <c r="G8" s="141" t="s">
        <v>149</v>
      </c>
      <c r="H8" s="138" t="s">
        <v>578</v>
      </c>
      <c r="I8" s="141" t="s">
        <v>564</v>
      </c>
      <c r="J8" s="138" t="s">
        <v>578</v>
      </c>
      <c r="K8" s="141" t="s">
        <v>157</v>
      </c>
      <c r="L8" s="138" t="s">
        <v>578</v>
      </c>
      <c r="M8" s="141" t="s">
        <v>153</v>
      </c>
      <c r="N8" s="138" t="s">
        <v>578</v>
      </c>
      <c r="O8" s="148"/>
      <c r="P8" s="148"/>
      <c r="Q8" s="148"/>
      <c r="R8" s="148"/>
      <c r="S8" s="149"/>
    </row>
    <row r="9">
      <c r="A9" s="142" t="s">
        <v>579</v>
      </c>
      <c r="B9" s="143" t="s">
        <v>425</v>
      </c>
      <c r="C9" s="144" t="str">
        <f>IFERROR(VLOOKUP(B9,ITEM_VISUAL!A:D,4,0),"?")</f>
        <v>car_vin_1</v>
      </c>
      <c r="D9" s="142" t="s">
        <v>580</v>
      </c>
      <c r="E9" s="142" t="s">
        <v>169</v>
      </c>
      <c r="F9" s="142" t="s">
        <v>580</v>
      </c>
      <c r="G9" s="142" t="s">
        <v>175</v>
      </c>
      <c r="H9" s="142" t="s">
        <v>580</v>
      </c>
      <c r="I9" s="142" t="s">
        <v>567</v>
      </c>
      <c r="J9" s="142" t="s">
        <v>580</v>
      </c>
      <c r="K9" s="142" t="s">
        <v>183</v>
      </c>
      <c r="L9" s="142" t="s">
        <v>580</v>
      </c>
      <c r="M9" s="142" t="s">
        <v>179</v>
      </c>
      <c r="N9" s="142" t="s">
        <v>580</v>
      </c>
      <c r="O9" s="148"/>
      <c r="P9" s="148"/>
      <c r="Q9" s="148"/>
      <c r="R9" s="148"/>
      <c r="S9" s="149"/>
    </row>
    <row r="10">
      <c r="A10" s="138" t="s">
        <v>581</v>
      </c>
      <c r="B10" s="139" t="s">
        <v>425</v>
      </c>
      <c r="C10" s="140" t="str">
        <f>IFERROR(VLOOKUP(B10,ITEM_VISUAL!A:D,4,0),"?")</f>
        <v>car_vin_1</v>
      </c>
      <c r="D10" s="138" t="s">
        <v>582</v>
      </c>
      <c r="E10" s="138" t="s">
        <v>195</v>
      </c>
      <c r="F10" s="138" t="s">
        <v>582</v>
      </c>
      <c r="G10" s="138" t="s">
        <v>200</v>
      </c>
      <c r="H10" s="138" t="s">
        <v>582</v>
      </c>
      <c r="I10" s="138" t="s">
        <v>570</v>
      </c>
      <c r="J10" s="138" t="s">
        <v>582</v>
      </c>
      <c r="K10" s="138" t="s">
        <v>208</v>
      </c>
      <c r="L10" s="138" t="s">
        <v>582</v>
      </c>
      <c r="M10" s="138" t="s">
        <v>204</v>
      </c>
      <c r="N10" s="138" t="s">
        <v>582</v>
      </c>
      <c r="O10" s="148"/>
      <c r="P10" s="148"/>
      <c r="Q10" s="148"/>
      <c r="R10" s="148"/>
      <c r="S10" s="149"/>
    </row>
    <row r="11">
      <c r="A11" s="142" t="s">
        <v>583</v>
      </c>
      <c r="B11" s="143" t="s">
        <v>428</v>
      </c>
      <c r="C11" s="144" t="str">
        <f>IFERROR(VLOOKUP(B11,ITEM_VISUAL!A:D,4,0),"?")</f>
        <v>car_vin_1</v>
      </c>
      <c r="D11" s="142" t="s">
        <v>584</v>
      </c>
      <c r="E11" s="147" t="s">
        <v>139</v>
      </c>
      <c r="F11" s="142" t="s">
        <v>584</v>
      </c>
      <c r="G11" s="147" t="s">
        <v>149</v>
      </c>
      <c r="H11" s="142" t="s">
        <v>584</v>
      </c>
      <c r="I11" s="147" t="s">
        <v>564</v>
      </c>
      <c r="J11" s="142" t="s">
        <v>584</v>
      </c>
      <c r="K11" s="147" t="s">
        <v>157</v>
      </c>
      <c r="L11" s="142" t="s">
        <v>584</v>
      </c>
      <c r="M11" s="147" t="s">
        <v>153</v>
      </c>
      <c r="N11" s="142" t="s">
        <v>584</v>
      </c>
      <c r="O11" s="148"/>
      <c r="P11" s="148"/>
      <c r="Q11" s="148"/>
      <c r="R11" s="148"/>
      <c r="S11" s="149"/>
    </row>
    <row r="12">
      <c r="A12" s="138" t="s">
        <v>585</v>
      </c>
      <c r="B12" s="139" t="s">
        <v>428</v>
      </c>
      <c r="C12" s="140" t="str">
        <f>IFERROR(VLOOKUP(B12,ITEM_VISUAL!A:D,4,0),"?")</f>
        <v>car_vin_1</v>
      </c>
      <c r="D12" s="138" t="s">
        <v>586</v>
      </c>
      <c r="E12" s="138" t="s">
        <v>169</v>
      </c>
      <c r="F12" s="138" t="s">
        <v>586</v>
      </c>
      <c r="G12" s="138" t="s">
        <v>175</v>
      </c>
      <c r="H12" s="138" t="s">
        <v>586</v>
      </c>
      <c r="I12" s="138" t="s">
        <v>567</v>
      </c>
      <c r="J12" s="138" t="s">
        <v>586</v>
      </c>
      <c r="K12" s="138" t="s">
        <v>183</v>
      </c>
      <c r="L12" s="138" t="s">
        <v>586</v>
      </c>
      <c r="M12" s="138" t="s">
        <v>179</v>
      </c>
      <c r="N12" s="138" t="s">
        <v>586</v>
      </c>
      <c r="O12" s="148"/>
      <c r="P12" s="148"/>
      <c r="Q12" s="148"/>
      <c r="R12" s="148"/>
      <c r="S12" s="149"/>
    </row>
    <row r="13">
      <c r="A13" s="142" t="s">
        <v>587</v>
      </c>
      <c r="B13" s="143" t="s">
        <v>428</v>
      </c>
      <c r="C13" s="144" t="str">
        <f>IFERROR(VLOOKUP(B13,ITEM_VISUAL!A:D,4,0),"?")</f>
        <v>car_vin_1</v>
      </c>
      <c r="D13" s="142" t="s">
        <v>588</v>
      </c>
      <c r="E13" s="142" t="s">
        <v>195</v>
      </c>
      <c r="F13" s="142" t="s">
        <v>588</v>
      </c>
      <c r="G13" s="142" t="s">
        <v>200</v>
      </c>
      <c r="H13" s="142" t="s">
        <v>588</v>
      </c>
      <c r="I13" s="142" t="s">
        <v>570</v>
      </c>
      <c r="J13" s="142" t="s">
        <v>588</v>
      </c>
      <c r="K13" s="142" t="s">
        <v>208</v>
      </c>
      <c r="L13" s="142" t="s">
        <v>588</v>
      </c>
      <c r="M13" s="142" t="s">
        <v>204</v>
      </c>
      <c r="N13" s="142" t="s">
        <v>588</v>
      </c>
      <c r="O13" s="148"/>
      <c r="P13" s="148"/>
      <c r="Q13" s="148"/>
      <c r="R13" s="148"/>
      <c r="S13" s="149"/>
    </row>
    <row r="14">
      <c r="A14" s="138" t="s">
        <v>589</v>
      </c>
      <c r="B14" s="139" t="s">
        <v>431</v>
      </c>
      <c r="C14" s="140" t="str">
        <f>IFERROR(VLOOKUP(B14,ITEM_VISUAL!A:D,4,0),"?")</f>
        <v>car_vin_2</v>
      </c>
      <c r="D14" s="138" t="s">
        <v>590</v>
      </c>
      <c r="E14" s="138" t="s">
        <v>220</v>
      </c>
      <c r="F14" s="138" t="s">
        <v>590</v>
      </c>
      <c r="G14" s="138" t="s">
        <v>222</v>
      </c>
      <c r="H14" s="138" t="s">
        <v>590</v>
      </c>
      <c r="I14" s="138" t="s">
        <v>591</v>
      </c>
      <c r="J14" s="138" t="s">
        <v>590</v>
      </c>
      <c r="K14" s="138" t="s">
        <v>226</v>
      </c>
      <c r="L14" s="138" t="s">
        <v>590</v>
      </c>
      <c r="M14" s="138" t="s">
        <v>224</v>
      </c>
      <c r="N14" s="141" t="s">
        <v>590</v>
      </c>
    </row>
    <row r="15">
      <c r="A15" s="142" t="s">
        <v>592</v>
      </c>
      <c r="B15" s="143" t="s">
        <v>431</v>
      </c>
      <c r="C15" s="144" t="str">
        <f>IFERROR(VLOOKUP(B15,ITEM_VISUAL!A:D,4,0),"?")</f>
        <v>car_vin_2</v>
      </c>
      <c r="D15" s="142" t="s">
        <v>593</v>
      </c>
      <c r="E15" s="142" t="s">
        <v>232</v>
      </c>
      <c r="F15" s="142" t="s">
        <v>593</v>
      </c>
      <c r="G15" s="142" t="s">
        <v>234</v>
      </c>
      <c r="H15" s="142" t="s">
        <v>593</v>
      </c>
      <c r="I15" s="142" t="s">
        <v>594</v>
      </c>
      <c r="J15" s="142" t="s">
        <v>593</v>
      </c>
      <c r="K15" s="142" t="s">
        <v>238</v>
      </c>
      <c r="L15" s="142" t="s">
        <v>593</v>
      </c>
      <c r="M15" s="142" t="s">
        <v>236</v>
      </c>
      <c r="N15" s="147" t="s">
        <v>593</v>
      </c>
    </row>
    <row r="16">
      <c r="A16" s="138" t="s">
        <v>595</v>
      </c>
      <c r="B16" s="139" t="s">
        <v>431</v>
      </c>
      <c r="C16" s="140" t="str">
        <f>IFERROR(VLOOKUP(B16,ITEM_VISUAL!A:D,4,0),"?")</f>
        <v>car_vin_2</v>
      </c>
      <c r="D16" s="138" t="s">
        <v>596</v>
      </c>
      <c r="E16" s="138" t="s">
        <v>244</v>
      </c>
      <c r="F16" s="138" t="s">
        <v>596</v>
      </c>
      <c r="G16" s="138" t="s">
        <v>246</v>
      </c>
      <c r="H16" s="138" t="s">
        <v>596</v>
      </c>
      <c r="I16" s="138" t="s">
        <v>597</v>
      </c>
      <c r="J16" s="138" t="s">
        <v>596</v>
      </c>
      <c r="K16" s="138" t="s">
        <v>250</v>
      </c>
      <c r="L16" s="138" t="s">
        <v>596</v>
      </c>
      <c r="M16" s="138" t="s">
        <v>248</v>
      </c>
      <c r="N16" s="141" t="s">
        <v>596</v>
      </c>
    </row>
    <row r="17">
      <c r="A17" s="142" t="s">
        <v>598</v>
      </c>
      <c r="B17" s="143" t="s">
        <v>432</v>
      </c>
      <c r="C17" s="144" t="str">
        <f>IFERROR(VLOOKUP(B17,ITEM_VISUAL!A:D,4,0),"?")</f>
        <v>car_vin_2</v>
      </c>
      <c r="D17" s="142" t="s">
        <v>599</v>
      </c>
      <c r="E17" s="142" t="s">
        <v>220</v>
      </c>
      <c r="F17" s="142" t="s">
        <v>599</v>
      </c>
      <c r="G17" s="142" t="s">
        <v>222</v>
      </c>
      <c r="H17" s="142" t="s">
        <v>599</v>
      </c>
      <c r="I17" s="142" t="s">
        <v>591</v>
      </c>
      <c r="J17" s="142" t="s">
        <v>599</v>
      </c>
      <c r="K17" s="142" t="s">
        <v>226</v>
      </c>
      <c r="L17" s="142" t="s">
        <v>599</v>
      </c>
      <c r="M17" s="142" t="s">
        <v>224</v>
      </c>
      <c r="N17" s="147" t="s">
        <v>599</v>
      </c>
    </row>
    <row r="18">
      <c r="A18" s="138" t="s">
        <v>600</v>
      </c>
      <c r="B18" s="139" t="s">
        <v>432</v>
      </c>
      <c r="C18" s="140" t="str">
        <f>IFERROR(VLOOKUP(B18,ITEM_VISUAL!A:D,4,0),"?")</f>
        <v>car_vin_2</v>
      </c>
      <c r="D18" s="138" t="s">
        <v>601</v>
      </c>
      <c r="E18" s="138" t="s">
        <v>232</v>
      </c>
      <c r="F18" s="138" t="s">
        <v>601</v>
      </c>
      <c r="G18" s="138" t="s">
        <v>234</v>
      </c>
      <c r="H18" s="138" t="s">
        <v>601</v>
      </c>
      <c r="I18" s="138" t="s">
        <v>594</v>
      </c>
      <c r="J18" s="138" t="s">
        <v>601</v>
      </c>
      <c r="K18" s="138" t="s">
        <v>238</v>
      </c>
      <c r="L18" s="138" t="s">
        <v>601</v>
      </c>
      <c r="M18" s="138" t="s">
        <v>236</v>
      </c>
      <c r="N18" s="141" t="s">
        <v>601</v>
      </c>
    </row>
    <row r="19">
      <c r="A19" s="142" t="s">
        <v>602</v>
      </c>
      <c r="B19" s="143" t="s">
        <v>432</v>
      </c>
      <c r="C19" s="144" t="str">
        <f>IFERROR(VLOOKUP(B19,ITEM_VISUAL!A:D,4,0),"?")</f>
        <v>car_vin_2</v>
      </c>
      <c r="D19" s="142" t="s">
        <v>603</v>
      </c>
      <c r="E19" s="142" t="s">
        <v>244</v>
      </c>
      <c r="F19" s="142" t="s">
        <v>603</v>
      </c>
      <c r="G19" s="142" t="s">
        <v>246</v>
      </c>
      <c r="H19" s="142" t="s">
        <v>603</v>
      </c>
      <c r="I19" s="142" t="s">
        <v>597</v>
      </c>
      <c r="J19" s="142" t="s">
        <v>603</v>
      </c>
      <c r="K19" s="142" t="s">
        <v>250</v>
      </c>
      <c r="L19" s="142" t="s">
        <v>603</v>
      </c>
      <c r="M19" s="142" t="s">
        <v>248</v>
      </c>
      <c r="N19" s="147" t="s">
        <v>603</v>
      </c>
    </row>
    <row r="20">
      <c r="A20" s="138" t="s">
        <v>604</v>
      </c>
      <c r="B20" s="139" t="s">
        <v>433</v>
      </c>
      <c r="C20" s="140" t="str">
        <f>IFERROR(VLOOKUP(B20,ITEM_VISUAL!A:D,4,0),"?")</f>
        <v>car_vin_2</v>
      </c>
      <c r="D20" s="138" t="s">
        <v>605</v>
      </c>
      <c r="E20" s="138" t="s">
        <v>220</v>
      </c>
      <c r="F20" s="138" t="s">
        <v>605</v>
      </c>
      <c r="G20" s="138" t="s">
        <v>222</v>
      </c>
      <c r="H20" s="138" t="s">
        <v>605</v>
      </c>
      <c r="I20" s="138" t="s">
        <v>591</v>
      </c>
      <c r="J20" s="138" t="s">
        <v>605</v>
      </c>
      <c r="K20" s="138" t="s">
        <v>226</v>
      </c>
      <c r="L20" s="138" t="s">
        <v>605</v>
      </c>
      <c r="M20" s="141" t="s">
        <v>224</v>
      </c>
      <c r="N20" s="141" t="s">
        <v>605</v>
      </c>
    </row>
    <row r="21">
      <c r="A21" s="142" t="s">
        <v>606</v>
      </c>
      <c r="B21" s="143" t="s">
        <v>433</v>
      </c>
      <c r="C21" s="144" t="str">
        <f>IFERROR(VLOOKUP(B21,ITEM_VISUAL!A:D,4,0),"?")</f>
        <v>car_vin_2</v>
      </c>
      <c r="D21" s="142" t="s">
        <v>607</v>
      </c>
      <c r="E21" s="142" t="s">
        <v>232</v>
      </c>
      <c r="F21" s="142" t="s">
        <v>607</v>
      </c>
      <c r="G21" s="142" t="s">
        <v>234</v>
      </c>
      <c r="H21" s="142" t="s">
        <v>607</v>
      </c>
      <c r="I21" s="142" t="s">
        <v>594</v>
      </c>
      <c r="J21" s="142" t="s">
        <v>607</v>
      </c>
      <c r="K21" s="142" t="s">
        <v>238</v>
      </c>
      <c r="L21" s="142" t="s">
        <v>607</v>
      </c>
      <c r="M21" s="147" t="s">
        <v>236</v>
      </c>
      <c r="N21" s="147" t="s">
        <v>607</v>
      </c>
    </row>
    <row r="22">
      <c r="A22" s="138" t="s">
        <v>608</v>
      </c>
      <c r="B22" s="139" t="s">
        <v>433</v>
      </c>
      <c r="C22" s="140" t="str">
        <f>IFERROR(VLOOKUP(B22,ITEM_VISUAL!A:D,4,0),"?")</f>
        <v>car_vin_2</v>
      </c>
      <c r="D22" s="138" t="s">
        <v>609</v>
      </c>
      <c r="E22" s="138" t="s">
        <v>244</v>
      </c>
      <c r="F22" s="138" t="s">
        <v>609</v>
      </c>
      <c r="G22" s="138" t="s">
        <v>246</v>
      </c>
      <c r="H22" s="138" t="s">
        <v>609</v>
      </c>
      <c r="I22" s="138" t="s">
        <v>597</v>
      </c>
      <c r="J22" s="138" t="s">
        <v>609</v>
      </c>
      <c r="K22" s="138" t="s">
        <v>250</v>
      </c>
      <c r="L22" s="138" t="s">
        <v>609</v>
      </c>
      <c r="M22" s="141" t="s">
        <v>248</v>
      </c>
      <c r="N22" s="141" t="s">
        <v>609</v>
      </c>
    </row>
    <row r="23">
      <c r="A23" s="142" t="s">
        <v>610</v>
      </c>
      <c r="B23" s="143" t="s">
        <v>434</v>
      </c>
      <c r="C23" s="144" t="str">
        <f>IFERROR(VLOOKUP(B23,ITEM_VISUAL!A:D,4,0),"?")</f>
        <v>car_vin_2</v>
      </c>
      <c r="D23" s="142" t="s">
        <v>611</v>
      </c>
      <c r="E23" s="142" t="s">
        <v>220</v>
      </c>
      <c r="F23" s="142" t="s">
        <v>611</v>
      </c>
      <c r="G23" s="142" t="s">
        <v>222</v>
      </c>
      <c r="H23" s="142" t="s">
        <v>611</v>
      </c>
      <c r="I23" s="142" t="s">
        <v>591</v>
      </c>
      <c r="J23" s="142" t="s">
        <v>611</v>
      </c>
      <c r="K23" s="142" t="s">
        <v>226</v>
      </c>
      <c r="L23" s="142" t="s">
        <v>611</v>
      </c>
      <c r="M23" s="147" t="s">
        <v>224</v>
      </c>
      <c r="N23" s="147" t="s">
        <v>611</v>
      </c>
    </row>
    <row r="24">
      <c r="A24" s="138" t="s">
        <v>612</v>
      </c>
      <c r="B24" s="139" t="s">
        <v>434</v>
      </c>
      <c r="C24" s="140" t="str">
        <f>IFERROR(VLOOKUP(B24,ITEM_VISUAL!A:D,4,0),"?")</f>
        <v>car_vin_2</v>
      </c>
      <c r="D24" s="138" t="s">
        <v>613</v>
      </c>
      <c r="E24" s="138" t="s">
        <v>232</v>
      </c>
      <c r="F24" s="138" t="s">
        <v>613</v>
      </c>
      <c r="G24" s="138" t="s">
        <v>234</v>
      </c>
      <c r="H24" s="138" t="s">
        <v>613</v>
      </c>
      <c r="I24" s="138" t="s">
        <v>594</v>
      </c>
      <c r="J24" s="138" t="s">
        <v>613</v>
      </c>
      <c r="K24" s="138" t="s">
        <v>238</v>
      </c>
      <c r="L24" s="138" t="s">
        <v>613</v>
      </c>
      <c r="M24" s="141" t="s">
        <v>236</v>
      </c>
      <c r="N24" s="141" t="s">
        <v>613</v>
      </c>
    </row>
    <row r="25">
      <c r="A25" s="142" t="s">
        <v>614</v>
      </c>
      <c r="B25" s="143" t="s">
        <v>434</v>
      </c>
      <c r="C25" s="144" t="str">
        <f>IFERROR(VLOOKUP(B25,ITEM_VISUAL!A:D,4,0),"?")</f>
        <v>car_vin_2</v>
      </c>
      <c r="D25" s="142" t="s">
        <v>615</v>
      </c>
      <c r="E25" s="142" t="s">
        <v>244</v>
      </c>
      <c r="F25" s="142" t="s">
        <v>615</v>
      </c>
      <c r="G25" s="142" t="s">
        <v>246</v>
      </c>
      <c r="H25" s="142" t="s">
        <v>615</v>
      </c>
      <c r="I25" s="142" t="s">
        <v>597</v>
      </c>
      <c r="J25" s="142" t="s">
        <v>615</v>
      </c>
      <c r="K25" s="142" t="s">
        <v>250</v>
      </c>
      <c r="L25" s="142" t="s">
        <v>615</v>
      </c>
      <c r="M25" s="147" t="s">
        <v>248</v>
      </c>
      <c r="N25" s="147" t="s">
        <v>615</v>
      </c>
    </row>
    <row r="26">
      <c r="A26" s="138" t="s">
        <v>616</v>
      </c>
      <c r="B26" s="139" t="s">
        <v>435</v>
      </c>
      <c r="C26" s="140" t="str">
        <f>IFERROR(VLOOKUP(B26,ITEM_VISUAL!A:D,4,0),"?")</f>
        <v>car_mer_1</v>
      </c>
      <c r="D26" s="138" t="s">
        <v>617</v>
      </c>
      <c r="E26" s="138" t="s">
        <v>256</v>
      </c>
      <c r="F26" s="138" t="s">
        <v>617</v>
      </c>
      <c r="G26" s="138" t="s">
        <v>258</v>
      </c>
      <c r="H26" s="138" t="s">
        <v>617</v>
      </c>
      <c r="I26" s="138" t="s">
        <v>618</v>
      </c>
      <c r="J26" s="138" t="s">
        <v>617</v>
      </c>
      <c r="K26" s="138" t="s">
        <v>262</v>
      </c>
      <c r="L26" s="138" t="s">
        <v>617</v>
      </c>
      <c r="M26" s="138" t="s">
        <v>260</v>
      </c>
      <c r="N26" s="138" t="s">
        <v>617</v>
      </c>
    </row>
    <row r="27">
      <c r="A27" s="142" t="s">
        <v>619</v>
      </c>
      <c r="B27" s="143" t="s">
        <v>435</v>
      </c>
      <c r="C27" s="144" t="str">
        <f>IFERROR(VLOOKUP(B27,ITEM_VISUAL!A:D,4,0),"?")</f>
        <v>car_mer_1</v>
      </c>
      <c r="D27" s="142" t="s">
        <v>620</v>
      </c>
      <c r="E27" s="142" t="s">
        <v>268</v>
      </c>
      <c r="F27" s="142" t="s">
        <v>620</v>
      </c>
      <c r="G27" s="142" t="s">
        <v>270</v>
      </c>
      <c r="H27" s="142" t="s">
        <v>620</v>
      </c>
      <c r="I27" s="142" t="s">
        <v>621</v>
      </c>
      <c r="J27" s="142" t="s">
        <v>620</v>
      </c>
      <c r="K27" s="142" t="s">
        <v>274</v>
      </c>
      <c r="L27" s="142" t="s">
        <v>620</v>
      </c>
      <c r="M27" s="142" t="s">
        <v>272</v>
      </c>
      <c r="N27" s="142" t="s">
        <v>620</v>
      </c>
    </row>
    <row r="28">
      <c r="A28" s="138" t="s">
        <v>622</v>
      </c>
      <c r="B28" s="139" t="s">
        <v>435</v>
      </c>
      <c r="C28" s="140" t="str">
        <f>IFERROR(VLOOKUP(B28,ITEM_VISUAL!A:D,4,0),"?")</f>
        <v>car_mer_1</v>
      </c>
      <c r="D28" s="138" t="s">
        <v>623</v>
      </c>
      <c r="E28" s="138" t="s">
        <v>280</v>
      </c>
      <c r="F28" s="138" t="s">
        <v>623</v>
      </c>
      <c r="G28" s="138" t="s">
        <v>282</v>
      </c>
      <c r="H28" s="138" t="s">
        <v>623</v>
      </c>
      <c r="I28" s="138" t="s">
        <v>624</v>
      </c>
      <c r="J28" s="138" t="s">
        <v>623</v>
      </c>
      <c r="K28" s="138" t="s">
        <v>286</v>
      </c>
      <c r="L28" s="138" t="s">
        <v>623</v>
      </c>
      <c r="M28" s="138" t="s">
        <v>284</v>
      </c>
      <c r="N28" s="138" t="s">
        <v>623</v>
      </c>
    </row>
    <row r="29">
      <c r="A29" s="142" t="s">
        <v>625</v>
      </c>
      <c r="B29" s="143" t="s">
        <v>436</v>
      </c>
      <c r="C29" s="144" t="str">
        <f>IFERROR(VLOOKUP(B29,ITEM_VISUAL!A:D,4,0),"?")</f>
        <v>car_mer_1</v>
      </c>
      <c r="D29" s="142" t="s">
        <v>626</v>
      </c>
      <c r="E29" s="142" t="s">
        <v>256</v>
      </c>
      <c r="F29" s="142" t="s">
        <v>626</v>
      </c>
      <c r="G29" s="142" t="s">
        <v>258</v>
      </c>
      <c r="H29" s="142" t="s">
        <v>626</v>
      </c>
      <c r="I29" s="142" t="s">
        <v>618</v>
      </c>
      <c r="J29" s="142" t="s">
        <v>626</v>
      </c>
      <c r="K29" s="142" t="s">
        <v>262</v>
      </c>
      <c r="L29" s="142" t="s">
        <v>626</v>
      </c>
      <c r="M29" s="142" t="s">
        <v>260</v>
      </c>
      <c r="N29" s="142" t="s">
        <v>626</v>
      </c>
    </row>
    <row r="30">
      <c r="A30" s="138" t="s">
        <v>627</v>
      </c>
      <c r="B30" s="139" t="s">
        <v>436</v>
      </c>
      <c r="C30" s="140" t="str">
        <f>IFERROR(VLOOKUP(B30,ITEM_VISUAL!A:D,4,0),"?")</f>
        <v>car_mer_1</v>
      </c>
      <c r="D30" s="138" t="s">
        <v>628</v>
      </c>
      <c r="E30" s="138" t="s">
        <v>268</v>
      </c>
      <c r="F30" s="138" t="s">
        <v>628</v>
      </c>
      <c r="G30" s="138" t="s">
        <v>270</v>
      </c>
      <c r="H30" s="138" t="s">
        <v>628</v>
      </c>
      <c r="I30" s="138" t="s">
        <v>621</v>
      </c>
      <c r="J30" s="138" t="s">
        <v>628</v>
      </c>
      <c r="K30" s="138" t="s">
        <v>274</v>
      </c>
      <c r="L30" s="138" t="s">
        <v>628</v>
      </c>
      <c r="M30" s="138" t="s">
        <v>272</v>
      </c>
      <c r="N30" s="138" t="s">
        <v>628</v>
      </c>
    </row>
    <row r="31">
      <c r="A31" s="142" t="s">
        <v>629</v>
      </c>
      <c r="B31" s="143" t="s">
        <v>436</v>
      </c>
      <c r="C31" s="144" t="str">
        <f>IFERROR(VLOOKUP(B31,ITEM_VISUAL!A:D,4,0),"?")</f>
        <v>car_mer_1</v>
      </c>
      <c r="D31" s="142" t="s">
        <v>630</v>
      </c>
      <c r="E31" s="142" t="s">
        <v>280</v>
      </c>
      <c r="F31" s="142" t="s">
        <v>630</v>
      </c>
      <c r="G31" s="142" t="s">
        <v>282</v>
      </c>
      <c r="H31" s="142" t="s">
        <v>630</v>
      </c>
      <c r="I31" s="142" t="s">
        <v>624</v>
      </c>
      <c r="J31" s="142" t="s">
        <v>630</v>
      </c>
      <c r="K31" s="142" t="s">
        <v>286</v>
      </c>
      <c r="L31" s="142" t="s">
        <v>630</v>
      </c>
      <c r="M31" s="142" t="s">
        <v>284</v>
      </c>
      <c r="N31" s="142" t="s">
        <v>630</v>
      </c>
    </row>
    <row r="32">
      <c r="A32" s="138" t="s">
        <v>631</v>
      </c>
      <c r="B32" s="139" t="s">
        <v>437</v>
      </c>
      <c r="C32" s="140" t="str">
        <f>IFERROR(VLOOKUP(B32,ITEM_VISUAL!A:D,4,0),"?")</f>
        <v>car_mer_1</v>
      </c>
      <c r="D32" s="138" t="s">
        <v>632</v>
      </c>
      <c r="E32" s="138" t="s">
        <v>256</v>
      </c>
      <c r="F32" s="138" t="s">
        <v>632</v>
      </c>
      <c r="G32" s="138" t="s">
        <v>258</v>
      </c>
      <c r="H32" s="138" t="s">
        <v>632</v>
      </c>
      <c r="I32" s="138" t="s">
        <v>618</v>
      </c>
      <c r="J32" s="138" t="s">
        <v>632</v>
      </c>
      <c r="K32" s="138" t="s">
        <v>262</v>
      </c>
      <c r="L32" s="138" t="s">
        <v>632</v>
      </c>
      <c r="M32" s="141" t="s">
        <v>260</v>
      </c>
      <c r="N32" s="138" t="s">
        <v>632</v>
      </c>
    </row>
    <row r="33">
      <c r="A33" s="142" t="s">
        <v>633</v>
      </c>
      <c r="B33" s="143" t="s">
        <v>437</v>
      </c>
      <c r="C33" s="144" t="str">
        <f>IFERROR(VLOOKUP(B33,ITEM_VISUAL!A:D,4,0),"?")</f>
        <v>car_mer_1</v>
      </c>
      <c r="D33" s="142" t="s">
        <v>634</v>
      </c>
      <c r="E33" s="142" t="s">
        <v>268</v>
      </c>
      <c r="F33" s="142" t="s">
        <v>634</v>
      </c>
      <c r="G33" s="142" t="s">
        <v>270</v>
      </c>
      <c r="H33" s="142" t="s">
        <v>634</v>
      </c>
      <c r="I33" s="142" t="s">
        <v>621</v>
      </c>
      <c r="J33" s="142" t="s">
        <v>634</v>
      </c>
      <c r="K33" s="142" t="s">
        <v>274</v>
      </c>
      <c r="L33" s="142" t="s">
        <v>634</v>
      </c>
      <c r="M33" s="147" t="s">
        <v>272</v>
      </c>
      <c r="N33" s="142" t="s">
        <v>634</v>
      </c>
    </row>
    <row r="34">
      <c r="A34" s="138" t="s">
        <v>635</v>
      </c>
      <c r="B34" s="139" t="s">
        <v>437</v>
      </c>
      <c r="C34" s="140" t="str">
        <f>IFERROR(VLOOKUP(B34,ITEM_VISUAL!A:D,4,0),"?")</f>
        <v>car_mer_1</v>
      </c>
      <c r="D34" s="138" t="s">
        <v>636</v>
      </c>
      <c r="E34" s="138" t="s">
        <v>280</v>
      </c>
      <c r="F34" s="138" t="s">
        <v>636</v>
      </c>
      <c r="G34" s="138" t="s">
        <v>282</v>
      </c>
      <c r="H34" s="138" t="s">
        <v>636</v>
      </c>
      <c r="I34" s="138" t="s">
        <v>624</v>
      </c>
      <c r="J34" s="138" t="s">
        <v>636</v>
      </c>
      <c r="K34" s="138" t="s">
        <v>286</v>
      </c>
      <c r="L34" s="138" t="s">
        <v>636</v>
      </c>
      <c r="M34" s="141" t="s">
        <v>284</v>
      </c>
      <c r="N34" s="138" t="s">
        <v>636</v>
      </c>
    </row>
    <row r="35">
      <c r="A35" s="142" t="s">
        <v>637</v>
      </c>
      <c r="B35" s="143" t="s">
        <v>438</v>
      </c>
      <c r="C35" s="144" t="str">
        <f>IFERROR(VLOOKUP(B35,ITEM_VISUAL!A:D,4,0),"?")</f>
        <v>car_mer_1</v>
      </c>
      <c r="D35" s="142" t="s">
        <v>638</v>
      </c>
      <c r="E35" s="142" t="s">
        <v>256</v>
      </c>
      <c r="F35" s="142" t="s">
        <v>638</v>
      </c>
      <c r="G35" s="142" t="s">
        <v>258</v>
      </c>
      <c r="H35" s="142" t="s">
        <v>638</v>
      </c>
      <c r="I35" s="142" t="s">
        <v>618</v>
      </c>
      <c r="J35" s="142" t="s">
        <v>638</v>
      </c>
      <c r="K35" s="142" t="s">
        <v>262</v>
      </c>
      <c r="L35" s="142" t="s">
        <v>638</v>
      </c>
      <c r="M35" s="147" t="s">
        <v>260</v>
      </c>
      <c r="N35" s="142" t="s">
        <v>638</v>
      </c>
    </row>
    <row r="36">
      <c r="A36" s="138" t="s">
        <v>639</v>
      </c>
      <c r="B36" s="139" t="s">
        <v>438</v>
      </c>
      <c r="C36" s="140" t="str">
        <f>IFERROR(VLOOKUP(B36,ITEM_VISUAL!A:D,4,0),"?")</f>
        <v>car_mer_1</v>
      </c>
      <c r="D36" s="138" t="s">
        <v>640</v>
      </c>
      <c r="E36" s="138" t="s">
        <v>268</v>
      </c>
      <c r="F36" s="138" t="s">
        <v>640</v>
      </c>
      <c r="G36" s="138" t="s">
        <v>270</v>
      </c>
      <c r="H36" s="138" t="s">
        <v>640</v>
      </c>
      <c r="I36" s="138" t="s">
        <v>621</v>
      </c>
      <c r="J36" s="138" t="s">
        <v>640</v>
      </c>
      <c r="K36" s="138" t="s">
        <v>274</v>
      </c>
      <c r="L36" s="138" t="s">
        <v>640</v>
      </c>
      <c r="M36" s="141" t="s">
        <v>272</v>
      </c>
      <c r="N36" s="138" t="s">
        <v>640</v>
      </c>
    </row>
    <row r="37">
      <c r="A37" s="142" t="s">
        <v>641</v>
      </c>
      <c r="B37" s="143" t="s">
        <v>438</v>
      </c>
      <c r="C37" s="144" t="str">
        <f>IFERROR(VLOOKUP(B37,ITEM_VISUAL!A:D,4,0),"?")</f>
        <v>car_mer_1</v>
      </c>
      <c r="D37" s="142" t="s">
        <v>642</v>
      </c>
      <c r="E37" s="142" t="s">
        <v>280</v>
      </c>
      <c r="F37" s="142" t="s">
        <v>642</v>
      </c>
      <c r="G37" s="142" t="s">
        <v>282</v>
      </c>
      <c r="H37" s="142" t="s">
        <v>642</v>
      </c>
      <c r="I37" s="142" t="s">
        <v>624</v>
      </c>
      <c r="J37" s="142" t="s">
        <v>642</v>
      </c>
      <c r="K37" s="142" t="s">
        <v>286</v>
      </c>
      <c r="L37" s="142" t="s">
        <v>642</v>
      </c>
      <c r="M37" s="147" t="s">
        <v>284</v>
      </c>
      <c r="N37" s="142" t="s">
        <v>642</v>
      </c>
    </row>
    <row r="38">
      <c r="A38" s="141"/>
      <c r="B38" s="150"/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</row>
    <row r="39">
      <c r="A39" s="147"/>
      <c r="B39" s="151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</row>
    <row r="40">
      <c r="A40" s="141"/>
      <c r="B40" s="150"/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</row>
    <row r="41">
      <c r="A41" s="147"/>
      <c r="B41" s="151"/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7"/>
    </row>
    <row r="42">
      <c r="A42" s="141"/>
      <c r="B42" s="150"/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</row>
    <row r="43">
      <c r="A43" s="147"/>
      <c r="B43" s="151"/>
      <c r="C43" s="147"/>
      <c r="D43" s="147"/>
      <c r="E43" s="147"/>
      <c r="F43" s="147"/>
      <c r="G43" s="147"/>
      <c r="H43" s="147"/>
      <c r="I43" s="147"/>
      <c r="J43" s="147"/>
      <c r="K43" s="147"/>
      <c r="L43" s="147"/>
      <c r="M43" s="147"/>
      <c r="N43" s="147"/>
    </row>
    <row r="44">
      <c r="A44" s="141"/>
      <c r="B44" s="150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</row>
    <row r="45">
      <c r="A45" s="147"/>
      <c r="B45" s="151"/>
      <c r="C45" s="147"/>
      <c r="D45" s="147"/>
      <c r="E45" s="147"/>
      <c r="F45" s="147"/>
      <c r="G45" s="147"/>
      <c r="H45" s="147"/>
      <c r="I45" s="147"/>
      <c r="J45" s="147"/>
      <c r="K45" s="147"/>
      <c r="L45" s="147"/>
      <c r="M45" s="147"/>
      <c r="N45" s="147"/>
    </row>
    <row r="46">
      <c r="A46" s="141"/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</row>
    <row r="990">
      <c r="C990" s="152" t="s">
        <v>643</v>
      </c>
      <c r="D990" s="152"/>
      <c r="E990" s="152"/>
    </row>
  </sheetData>
  <autoFilter ref="$A$1:$AH$37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E6655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6.0"/>
    <col customWidth="1" min="2" max="2" width="15.29"/>
    <col customWidth="1" min="3" max="3" width="20.57"/>
    <col customWidth="1" min="4" max="4" width="19.0"/>
    <col customWidth="1" min="5" max="5" width="33.43"/>
    <col customWidth="1" min="6" max="6" width="32.29"/>
    <col customWidth="1" min="7" max="7" width="30.29"/>
    <col customWidth="1" min="8" max="11" width="33.14"/>
    <col customWidth="1" min="12" max="12" width="37.43"/>
    <col customWidth="1" min="13" max="27" width="8.71"/>
  </cols>
  <sheetData>
    <row r="1" ht="27.75" customHeight="1">
      <c r="A1" s="153" t="s">
        <v>644</v>
      </c>
      <c r="B1" s="153" t="s">
        <v>48</v>
      </c>
      <c r="C1" s="153" t="s">
        <v>645</v>
      </c>
      <c r="D1" s="153" t="s">
        <v>646</v>
      </c>
      <c r="E1" s="153" t="s">
        <v>127</v>
      </c>
      <c r="F1" s="153" t="s">
        <v>128</v>
      </c>
      <c r="G1" s="153" t="s">
        <v>130</v>
      </c>
      <c r="H1" s="153" t="s">
        <v>131</v>
      </c>
      <c r="I1" s="153" t="s">
        <v>132</v>
      </c>
      <c r="J1" s="154" t="s">
        <v>133</v>
      </c>
      <c r="K1" s="154" t="s">
        <v>134</v>
      </c>
      <c r="L1" s="153" t="s">
        <v>84</v>
      </c>
    </row>
    <row r="2">
      <c r="A2" s="155"/>
      <c r="B2" s="155"/>
      <c r="C2" s="155"/>
      <c r="D2" s="155"/>
      <c r="E2" s="156" t="s">
        <v>647</v>
      </c>
      <c r="F2" s="156" t="s">
        <v>647</v>
      </c>
      <c r="G2" s="156" t="s">
        <v>647</v>
      </c>
      <c r="H2" s="156" t="s">
        <v>647</v>
      </c>
      <c r="I2" s="156" t="s">
        <v>647</v>
      </c>
      <c r="J2" s="156" t="s">
        <v>647</v>
      </c>
      <c r="K2" s="156" t="s">
        <v>647</v>
      </c>
      <c r="L2" s="155"/>
    </row>
    <row r="3">
      <c r="A3" s="157" t="s">
        <v>139</v>
      </c>
      <c r="B3" s="80" t="s">
        <v>141</v>
      </c>
      <c r="C3" s="80" t="s">
        <v>648</v>
      </c>
      <c r="D3" s="80" t="s">
        <v>649</v>
      </c>
      <c r="E3" s="158" t="str">
        <f>IFERROR(VLOOKUP(A3,ITEM_MASTER!$A:$E,4,0),"?")</f>
        <v>Front Bumper Basic</v>
      </c>
      <c r="F3" s="158" t="str">
        <f>IFERROR(VLOOKUP(A3,ITEM_MASTER!$A:$E,5,0),"?")</f>
        <v>Cản Trước Tiêu Chuẩn</v>
      </c>
      <c r="G3" s="158" t="str">
        <f>IFERROR(VLOOKUP($A3,ITEM_MASTER!$A:$I,7,0),"?")</f>
        <v>Common</v>
      </c>
      <c r="H3" s="158" t="str">
        <f>IFERROR(VLOOKUP($A3,ITEM_MASTER!$A:$I,8,0),"?")</f>
        <v>unreleased</v>
      </c>
      <c r="I3" s="158" t="str">
        <f>IFERROR(VLOOKUP($A3,ITEM_MASTER!$A:$I,9,0),"?")</f>
        <v>Car Defaults</v>
      </c>
      <c r="J3" s="158" t="str">
        <f>IFERROR(VLOOKUP($A3,ITEM_MASTER!$A:$J,10,0),"?")</f>
        <v>/Content/Vehicles/Lux_A/Mesh/FrontBumper/SM_LuxA_FrontBumper_Basic.uasset</v>
      </c>
      <c r="K3" s="158" t="str">
        <f>IFERROR(VLOOKUP($A3,ITEM_MASTER!$A:$K,11,0),"?")</f>
        <v>path_i</v>
      </c>
      <c r="L3" s="158" t="b">
        <f>IFERROR(VLOOKUP($A3,ITEM_MASTER!$A:$N,12,0),"?")</f>
        <v>0</v>
      </c>
    </row>
    <row r="4">
      <c r="A4" s="157" t="s">
        <v>149</v>
      </c>
      <c r="B4" s="159" t="s">
        <v>141</v>
      </c>
      <c r="C4" s="159" t="s">
        <v>650</v>
      </c>
      <c r="D4" s="80" t="s">
        <v>649</v>
      </c>
      <c r="E4" s="160" t="str">
        <f>IFERROR(VLOOKUP(A4,ITEM_MASTER!$A:$E,4,0),"?")</f>
        <v>Rear Bumper Basic</v>
      </c>
      <c r="F4" s="160" t="str">
        <f>IFERROR(VLOOKUP(A4,ITEM_MASTER!$A:$E,5,0),"?")</f>
        <v>Cản Sau Tiêu Chuẩn</v>
      </c>
      <c r="G4" s="158" t="str">
        <f>IFERROR(VLOOKUP($A4,ITEM_MASTER!$A:$I,7,0),"?")</f>
        <v>Common</v>
      </c>
      <c r="H4" s="158" t="str">
        <f>IFERROR(VLOOKUP($A4,ITEM_MASTER!$A:$I,8,0),"?")</f>
        <v>unreleased</v>
      </c>
      <c r="I4" s="158" t="str">
        <f>IFERROR(VLOOKUP($A4,ITEM_MASTER!$A:$I,9,0),"?")</f>
        <v>Car Defaults</v>
      </c>
      <c r="J4" s="158" t="str">
        <f>IFERROR(VLOOKUP($A4,ITEM_MASTER!$A:$J,10,0),"?")</f>
        <v>/Content/Vehicles/Lux_A/Mesh/RearBumper/SM_LuxA_RearBumper_Basic.uasset</v>
      </c>
      <c r="K4" s="158" t="str">
        <f>IFERROR(VLOOKUP($A4,ITEM_MASTER!$A:$K,11,0),"?")</f>
        <v/>
      </c>
      <c r="L4" s="158" t="b">
        <f>IFERROR(VLOOKUP($A4,ITEM_MASTER!$A:$N,12,0),"?")</f>
        <v>0</v>
      </c>
    </row>
    <row r="5">
      <c r="A5" s="157" t="s">
        <v>153</v>
      </c>
      <c r="B5" s="80" t="s">
        <v>141</v>
      </c>
      <c r="C5" s="80" t="s">
        <v>651</v>
      </c>
      <c r="D5" s="80" t="s">
        <v>649</v>
      </c>
      <c r="E5" s="158" t="str">
        <f>IFERROR(VLOOKUP(A5,ITEM_MASTER!$A:$E,4,0),"?")</f>
        <v>Spoiler Basic</v>
      </c>
      <c r="F5" s="158" t="str">
        <f>IFERROR(VLOOKUP(A5,ITEM_MASTER!$A:$E,5,0),"?")</f>
        <v>Cánh Gió Tiêu Chuẩn</v>
      </c>
      <c r="G5" s="158" t="str">
        <f>IFERROR(VLOOKUP($A5,ITEM_MASTER!$A:$I,7,0),"?")</f>
        <v>Common</v>
      </c>
      <c r="H5" s="158" t="str">
        <f>IFERROR(VLOOKUP($A5,ITEM_MASTER!$A:$I,8,0),"?")</f>
        <v>unreleased</v>
      </c>
      <c r="I5" s="158" t="str">
        <f>IFERROR(VLOOKUP($A5,ITEM_MASTER!$A:$I,9,0),"?")</f>
        <v>Car Defaults</v>
      </c>
      <c r="J5" s="158" t="str">
        <f>IFERROR(VLOOKUP($A5,ITEM_MASTER!$A:$J,10,0),"?")</f>
        <v>/Content/Vehicles/Lux_A/Mesh/Spoiler/SM_LuxA_Spoiler_Basic.uasset</v>
      </c>
      <c r="K5" s="158" t="str">
        <f>IFERROR(VLOOKUP($A5,ITEM_MASTER!$A:$K,11,0),"?")</f>
        <v/>
      </c>
      <c r="L5" s="158" t="b">
        <f>IFERROR(VLOOKUP($A5,ITEM_MASTER!$A:$N,12,0),"?")</f>
        <v>0</v>
      </c>
    </row>
    <row r="6">
      <c r="A6" s="157" t="s">
        <v>157</v>
      </c>
      <c r="B6" s="159" t="s">
        <v>141</v>
      </c>
      <c r="C6" s="159" t="s">
        <v>652</v>
      </c>
      <c r="D6" s="80" t="s">
        <v>649</v>
      </c>
      <c r="E6" s="160" t="str">
        <f>IFERROR(VLOOKUP(A6,ITEM_MASTER!$A:$E,4,0),"?")</f>
        <v>Roof Panel Basic</v>
      </c>
      <c r="F6" s="160" t="str">
        <f>IFERROR(VLOOKUP(A6,ITEM_MASTER!$A:$E,5,0),"?")</f>
        <v>Nóc Xe Tiêu Chuẩn</v>
      </c>
      <c r="G6" s="158" t="str">
        <f>IFERROR(VLOOKUP($A6,ITEM_MASTER!$A:$I,7,0),"?")</f>
        <v>Common</v>
      </c>
      <c r="H6" s="158" t="str">
        <f>IFERROR(VLOOKUP($A6,ITEM_MASTER!$A:$I,8,0),"?")</f>
        <v>unreleased</v>
      </c>
      <c r="I6" s="158" t="str">
        <f>IFERROR(VLOOKUP($A6,ITEM_MASTER!$A:$I,9,0),"?")</f>
        <v>Car Defaults</v>
      </c>
      <c r="J6" s="158" t="str">
        <f>IFERROR(VLOOKUP($A6,ITEM_MASTER!$A:$J,10,0),"?")</f>
        <v>/Content/Vehicles/Lux_A/Mesh/Roof/SM_LuxA_Roof_Basic.uasset</v>
      </c>
      <c r="K6" s="158" t="str">
        <f>IFERROR(VLOOKUP($A6,ITEM_MASTER!$A:$K,11,0),"?")</f>
        <v/>
      </c>
      <c r="L6" s="158" t="b">
        <f>IFERROR(VLOOKUP($A6,ITEM_MASTER!$A:$N,12,0),"?")</f>
        <v>0</v>
      </c>
    </row>
    <row r="7">
      <c r="A7" s="157" t="s">
        <v>161</v>
      </c>
      <c r="B7" s="80" t="s">
        <v>141</v>
      </c>
      <c r="C7" s="80" t="s">
        <v>653</v>
      </c>
      <c r="D7" s="80" t="s">
        <v>649</v>
      </c>
      <c r="E7" s="158" t="str">
        <f>IFERROR(VLOOKUP(A7,ITEM_MASTER!$A:$E,4,0),"?")</f>
        <v>Wheel Basic</v>
      </c>
      <c r="F7" s="158" t="str">
        <f>IFERROR(VLOOKUP(A7,ITEM_MASTER!$A:$E,5,0),"?")</f>
        <v>Mâm Tiêu Chuẩn</v>
      </c>
      <c r="G7" s="158" t="str">
        <f>IFERROR(VLOOKUP($A7,ITEM_MASTER!$A:$I,7,0),"?")</f>
        <v>Common</v>
      </c>
      <c r="H7" s="158" t="str">
        <f>IFERROR(VLOOKUP($A7,ITEM_MASTER!$A:$I,8,0),"?")</f>
        <v>unreleased</v>
      </c>
      <c r="I7" s="158" t="str">
        <f>IFERROR(VLOOKUP($A7,ITEM_MASTER!$A:$I,9,0),"?")</f>
        <v>Car Defaults</v>
      </c>
      <c r="J7" s="158" t="str">
        <f>IFERROR(VLOOKUP($A7,ITEM_MASTER!$A:$J,10,0),"?")</f>
        <v>/Content/Vehicles/Lux_A/Mesh/Wheel/SM_LuxA_Wheels_Basic.uasset</v>
      </c>
      <c r="K7" s="158" t="str">
        <f>IFERROR(VLOOKUP($A7,ITEM_MASTER!$A:$K,11,0),"?")</f>
        <v/>
      </c>
      <c r="L7" s="158" t="b">
        <f>IFERROR(VLOOKUP($A7,ITEM_MASTER!$A:$N,12,0),"?")</f>
        <v>0</v>
      </c>
    </row>
    <row r="8">
      <c r="A8" s="157" t="s">
        <v>165</v>
      </c>
      <c r="B8" s="159" t="s">
        <v>141</v>
      </c>
      <c r="C8" s="159" t="s">
        <v>654</v>
      </c>
      <c r="D8" s="80" t="s">
        <v>649</v>
      </c>
      <c r="E8" s="160" t="str">
        <f>IFERROR(VLOOKUP(A8,ITEM_MASTER!$A:$E,4,0),"?")</f>
        <v>Side Skirt Basic</v>
      </c>
      <c r="F8" s="160" t="str">
        <f>IFERROR(VLOOKUP(A8,ITEM_MASTER!$A:$E,5,0),"?")</f>
        <v>Ốp Sườn Tiêu Chuẩn</v>
      </c>
      <c r="G8" s="158" t="str">
        <f>IFERROR(VLOOKUP($A8,ITEM_MASTER!$A:$I,7,0),"?")</f>
        <v>Common</v>
      </c>
      <c r="H8" s="158" t="str">
        <f>IFERROR(VLOOKUP($A8,ITEM_MASTER!$A:$I,8,0),"?")</f>
        <v>unreleased</v>
      </c>
      <c r="I8" s="158" t="str">
        <f>IFERROR(VLOOKUP($A8,ITEM_MASTER!$A:$I,9,0),"?")</f>
        <v>Car Defaults</v>
      </c>
      <c r="J8" s="158" t="str">
        <f>IFERROR(VLOOKUP($A8,ITEM_MASTER!$A:$J,10,0),"?")</f>
        <v>/Content/Vehicles/Lux_A/Mesh/SideSkirt/SM_LuxA_SideBoard_Basic.uasset</v>
      </c>
      <c r="K8" s="158" t="str">
        <f>IFERROR(VLOOKUP($A8,ITEM_MASTER!$A:$K,11,0),"?")</f>
        <v/>
      </c>
      <c r="L8" s="158" t="b">
        <f>IFERROR(VLOOKUP($A8,ITEM_MASTER!$A:$N,12,0),"?")</f>
        <v>0</v>
      </c>
    </row>
    <row r="9">
      <c r="A9" s="157" t="s">
        <v>169</v>
      </c>
      <c r="B9" s="159" t="s">
        <v>141</v>
      </c>
      <c r="C9" s="80" t="s">
        <v>648</v>
      </c>
      <c r="D9" s="80" t="s">
        <v>649</v>
      </c>
      <c r="E9" s="160" t="str">
        <f>IFERROR(VLOOKUP(A9,ITEM_MASTER!$A:$E,4,0),"?")</f>
        <v>Front Bumper Sport</v>
      </c>
      <c r="F9" s="160" t="str">
        <f>IFERROR(VLOOKUP(A9,ITEM_MASTER!$A:$E,5,0),"?")</f>
        <v>Cản Trước Thể Thao</v>
      </c>
      <c r="G9" s="158" t="str">
        <f>IFERROR(VLOOKUP($A9,ITEM_MASTER!$A:$I,7,0),"?")</f>
        <v>UnCommon</v>
      </c>
      <c r="H9" s="158" t="str">
        <f>IFERROR(VLOOKUP($A9,ITEM_MASTER!$A:$I,8,0),"?")</f>
        <v>unreleased</v>
      </c>
      <c r="I9" s="158" t="str">
        <f>IFERROR(VLOOKUP($A9,ITEM_MASTER!$A:$I,9,0),"?")</f>
        <v>Post-Race Rewards</v>
      </c>
      <c r="J9" s="158" t="str">
        <f>IFERROR(VLOOKUP($A9,ITEM_MASTER!$A:$J,10,0),"?")</f>
        <v>/Content/Vehicles/Lux_A/Mesh/FrontBumper/SM_LuxA_FrontBumper_Sport.uasset</v>
      </c>
      <c r="K9" s="158" t="str">
        <f>IFERROR(VLOOKUP($A9,ITEM_MASTER!$A:$K,11,0),"?")</f>
        <v/>
      </c>
      <c r="L9" s="158" t="b">
        <f>IFERROR(VLOOKUP($A9,ITEM_MASTER!$A:$N,12,0),"?")</f>
        <v>0</v>
      </c>
    </row>
    <row r="10">
      <c r="A10" s="157" t="s">
        <v>175</v>
      </c>
      <c r="B10" s="159" t="s">
        <v>141</v>
      </c>
      <c r="C10" s="159" t="s">
        <v>650</v>
      </c>
      <c r="D10" s="80" t="s">
        <v>649</v>
      </c>
      <c r="E10" s="160" t="str">
        <f>IFERROR(VLOOKUP(A10,ITEM_MASTER!$A:$E,4,0),"?")</f>
        <v>Rear Bumper Sport</v>
      </c>
      <c r="F10" s="160" t="str">
        <f>IFERROR(VLOOKUP(A10,ITEM_MASTER!$A:$E,5,0),"?")</f>
        <v>Cản Sau Thể Thao</v>
      </c>
      <c r="G10" s="158" t="str">
        <f>IFERROR(VLOOKUP($A10,ITEM_MASTER!$A:$I,7,0),"?")</f>
        <v>UnCommon</v>
      </c>
      <c r="H10" s="158" t="str">
        <f>IFERROR(VLOOKUP($A10,ITEM_MASTER!$A:$I,8,0),"?")</f>
        <v>unreleased</v>
      </c>
      <c r="I10" s="158" t="str">
        <f>IFERROR(VLOOKUP($A10,ITEM_MASTER!$A:$I,9,0),"?")</f>
        <v>Post-Race Rewards</v>
      </c>
      <c r="J10" s="158" t="str">
        <f>IFERROR(VLOOKUP($A10,ITEM_MASTER!$A:$J,10,0),"?")</f>
        <v>/Content/Vehicles/Lux_A/Mesh/RearBumper/SM_LuxA_RearBumper_Sport.uasset</v>
      </c>
      <c r="K10" s="158" t="str">
        <f>IFERROR(VLOOKUP($A10,ITEM_MASTER!$A:$K,11,0),"?")</f>
        <v/>
      </c>
      <c r="L10" s="158" t="b">
        <f>IFERROR(VLOOKUP($A10,ITEM_MASTER!$A:$N,12,0),"?")</f>
        <v>0</v>
      </c>
    </row>
    <row r="11">
      <c r="A11" s="157" t="s">
        <v>179</v>
      </c>
      <c r="B11" s="159" t="s">
        <v>141</v>
      </c>
      <c r="C11" s="80" t="s">
        <v>651</v>
      </c>
      <c r="D11" s="80" t="s">
        <v>649</v>
      </c>
      <c r="E11" s="160" t="str">
        <f>IFERROR(VLOOKUP(A11,ITEM_MASTER!$A:$E,4,0),"?")</f>
        <v>Spoiler Sport</v>
      </c>
      <c r="F11" s="160" t="str">
        <f>IFERROR(VLOOKUP(A11,ITEM_MASTER!$A:$E,5,0),"?")</f>
        <v>Cánh Gió Thể Thao</v>
      </c>
      <c r="G11" s="158" t="str">
        <f>IFERROR(VLOOKUP($A11,ITEM_MASTER!$A:$I,7,0),"?")</f>
        <v>UnCommon</v>
      </c>
      <c r="H11" s="158" t="str">
        <f>IFERROR(VLOOKUP($A11,ITEM_MASTER!$A:$I,8,0),"?")</f>
        <v>unreleased</v>
      </c>
      <c r="I11" s="158" t="str">
        <f>IFERROR(VLOOKUP($A11,ITEM_MASTER!$A:$I,9,0),"?")</f>
        <v>Post-Race Rewards</v>
      </c>
      <c r="J11" s="158" t="str">
        <f>IFERROR(VLOOKUP($A11,ITEM_MASTER!$A:$J,10,0),"?")</f>
        <v>/Content/Vehicles/Lux_A/Mesh/Spoiler/SM_LuxA_Spoiler_Sport.uasset</v>
      </c>
      <c r="K11" s="158" t="str">
        <f>IFERROR(VLOOKUP($A11,ITEM_MASTER!$A:$K,11,0),"?")</f>
        <v/>
      </c>
      <c r="L11" s="158" t="b">
        <f>IFERROR(VLOOKUP($A11,ITEM_MASTER!$A:$N,12,0),"?")</f>
        <v>0</v>
      </c>
    </row>
    <row r="12">
      <c r="A12" s="157" t="s">
        <v>183</v>
      </c>
      <c r="B12" s="159" t="s">
        <v>141</v>
      </c>
      <c r="C12" s="159" t="s">
        <v>652</v>
      </c>
      <c r="D12" s="80" t="s">
        <v>649</v>
      </c>
      <c r="E12" s="160" t="str">
        <f>IFERROR(VLOOKUP(A12,ITEM_MASTER!$A:$E,4,0),"?")</f>
        <v>Roof Panel Sport</v>
      </c>
      <c r="F12" s="160" t="str">
        <f>IFERROR(VLOOKUP(A12,ITEM_MASTER!$A:$E,5,0),"?")</f>
        <v>Nóc Xe Thể Thao</v>
      </c>
      <c r="G12" s="158" t="str">
        <f>IFERROR(VLOOKUP($A12,ITEM_MASTER!$A:$I,7,0),"?")</f>
        <v>UnCommon</v>
      </c>
      <c r="H12" s="158" t="str">
        <f>IFERROR(VLOOKUP($A12,ITEM_MASTER!$A:$I,8,0),"?")</f>
        <v>unreleased</v>
      </c>
      <c r="I12" s="158" t="str">
        <f>IFERROR(VLOOKUP($A12,ITEM_MASTER!$A:$I,9,0),"?")</f>
        <v>Post-Race Rewards</v>
      </c>
      <c r="J12" s="158" t="str">
        <f>IFERROR(VLOOKUP($A12,ITEM_MASTER!$A:$J,10,0),"?")</f>
        <v>/Content/Vehicles/Lux_A/Mesh/Roof/SM_LuxA_Roof_Sport.uasset</v>
      </c>
      <c r="K12" s="158" t="str">
        <f>IFERROR(VLOOKUP($A12,ITEM_MASTER!$A:$K,11,0),"?")</f>
        <v/>
      </c>
      <c r="L12" s="158" t="b">
        <f>IFERROR(VLOOKUP($A12,ITEM_MASTER!$A:$N,12,0),"?")</f>
        <v>0</v>
      </c>
    </row>
    <row r="13">
      <c r="A13" s="157" t="s">
        <v>187</v>
      </c>
      <c r="B13" s="159" t="s">
        <v>141</v>
      </c>
      <c r="C13" s="80" t="s">
        <v>653</v>
      </c>
      <c r="D13" s="80" t="s">
        <v>649</v>
      </c>
      <c r="E13" s="160" t="str">
        <f>IFERROR(VLOOKUP(A13,ITEM_MASTER!$A:$E,4,0),"?")</f>
        <v>Wheel Sport</v>
      </c>
      <c r="F13" s="160" t="str">
        <f>IFERROR(VLOOKUP(A13,ITEM_MASTER!$A:$E,5,0),"?")</f>
        <v>Mâm Thể Thao</v>
      </c>
      <c r="G13" s="158" t="str">
        <f>IFERROR(VLOOKUP($A13,ITEM_MASTER!$A:$I,7,0),"?")</f>
        <v>UnCommon</v>
      </c>
      <c r="H13" s="158" t="str">
        <f>IFERROR(VLOOKUP($A13,ITEM_MASTER!$A:$I,8,0),"?")</f>
        <v>unreleased</v>
      </c>
      <c r="I13" s="158" t="str">
        <f>IFERROR(VLOOKUP($A13,ITEM_MASTER!$A:$I,9,0),"?")</f>
        <v>Post-Race Rewards</v>
      </c>
      <c r="J13" s="158" t="str">
        <f>IFERROR(VLOOKUP($A13,ITEM_MASTER!$A:$J,10,0),"?")</f>
        <v>/Content/Vehicles/Lux_A/Mesh/Wheel/SM_LuxA_Wheel_Sport.uasset</v>
      </c>
      <c r="K13" s="158" t="str">
        <f>IFERROR(VLOOKUP($A13,ITEM_MASTER!$A:$K,11,0),"?")</f>
        <v/>
      </c>
      <c r="L13" s="158" t="b">
        <f>IFERROR(VLOOKUP($A13,ITEM_MASTER!$A:$N,12,0),"?")</f>
        <v>0</v>
      </c>
    </row>
    <row r="14">
      <c r="A14" s="157" t="s">
        <v>191</v>
      </c>
      <c r="B14" s="159" t="s">
        <v>141</v>
      </c>
      <c r="C14" s="159" t="s">
        <v>654</v>
      </c>
      <c r="D14" s="80" t="s">
        <v>649</v>
      </c>
      <c r="E14" s="160" t="str">
        <f>IFERROR(VLOOKUP(A14,ITEM_MASTER!$A:$E,4,0),"?")</f>
        <v>Side Skirt Sport</v>
      </c>
      <c r="F14" s="160" t="str">
        <f>IFERROR(VLOOKUP(A14,ITEM_MASTER!$A:$E,5,0),"?")</f>
        <v>Ốp Sườn Thể Thao</v>
      </c>
      <c r="G14" s="158" t="str">
        <f>IFERROR(VLOOKUP($A14,ITEM_MASTER!$A:$I,7,0),"?")</f>
        <v>UnCommon</v>
      </c>
      <c r="H14" s="158" t="str">
        <f>IFERROR(VLOOKUP($A14,ITEM_MASTER!$A:$I,8,0),"?")</f>
        <v>unreleased</v>
      </c>
      <c r="I14" s="158" t="str">
        <f>IFERROR(VLOOKUP($A14,ITEM_MASTER!$A:$I,9,0),"?")</f>
        <v>Post-Race Rewards</v>
      </c>
      <c r="J14" s="158" t="str">
        <f>IFERROR(VLOOKUP($A14,ITEM_MASTER!$A:$J,10,0),"?")</f>
        <v>/Content/Vehicles/Lux_A/Mesh/SideSkirt/SM_LuxA_SideBoard_Sport.uasset</v>
      </c>
      <c r="K14" s="158" t="str">
        <f>IFERROR(VLOOKUP($A14,ITEM_MASTER!$A:$K,11,0),"?")</f>
        <v/>
      </c>
      <c r="L14" s="158" t="b">
        <f>IFERROR(VLOOKUP($A14,ITEM_MASTER!$A:$N,12,0),"?")</f>
        <v>0</v>
      </c>
    </row>
    <row r="15">
      <c r="A15" s="157" t="s">
        <v>195</v>
      </c>
      <c r="B15" s="159" t="s">
        <v>141</v>
      </c>
      <c r="C15" s="80" t="s">
        <v>648</v>
      </c>
      <c r="D15" s="80" t="s">
        <v>649</v>
      </c>
      <c r="E15" s="160" t="str">
        <f>IFERROR(VLOOKUP(A15,ITEM_MASTER!$A:$E,4,0),"?")</f>
        <v>Front Bumper Luxury</v>
      </c>
      <c r="F15" s="160" t="str">
        <f>IFERROR(VLOOKUP(A15,ITEM_MASTER!$A:$E,5,0),"?")</f>
        <v>Cản Trước Cao Cấp</v>
      </c>
      <c r="G15" s="158" t="str">
        <f>IFERROR(VLOOKUP($A15,ITEM_MASTER!$A:$I,7,0),"?")</f>
        <v>Rare</v>
      </c>
      <c r="H15" s="158" t="str">
        <f>IFERROR(VLOOKUP($A15,ITEM_MASTER!$A:$I,8,0),"?")</f>
        <v>unreleased</v>
      </c>
      <c r="I15" s="158" t="str">
        <f>IFERROR(VLOOKUP($A15,ITEM_MASTER!$A:$I,9,0),"?")</f>
        <v>Post-Race Rewards</v>
      </c>
      <c r="J15" s="158" t="str">
        <f>IFERROR(VLOOKUP($A15,ITEM_MASTER!$A:$J,10,0),"?")</f>
        <v>/Content/Vehicles/Lux_A/Mesh/FrontBumper/SM_LuxA_FrontBumper_Luxury.uasset</v>
      </c>
      <c r="K15" s="158" t="str">
        <f>IFERROR(VLOOKUP($A15,ITEM_MASTER!$A:$K,11,0),"?")</f>
        <v/>
      </c>
      <c r="L15" s="158" t="b">
        <f>IFERROR(VLOOKUP($A15,ITEM_MASTER!$A:$N,12,0),"?")</f>
        <v>0</v>
      </c>
    </row>
    <row r="16">
      <c r="A16" s="157" t="s">
        <v>200</v>
      </c>
      <c r="B16" s="159" t="s">
        <v>141</v>
      </c>
      <c r="C16" s="159" t="s">
        <v>650</v>
      </c>
      <c r="D16" s="80" t="s">
        <v>649</v>
      </c>
      <c r="E16" s="160" t="str">
        <f>IFERROR(VLOOKUP(A16,ITEM_MASTER!$A:$E,4,0),"?")</f>
        <v>Rear Bumper Luxury</v>
      </c>
      <c r="F16" s="160" t="str">
        <f>IFERROR(VLOOKUP(A16,ITEM_MASTER!$A:$E,5,0),"?")</f>
        <v>Cản Sau Cao Cấp</v>
      </c>
      <c r="G16" s="158" t="str">
        <f>IFERROR(VLOOKUP($A16,ITEM_MASTER!$A:$I,7,0),"?")</f>
        <v>Rare</v>
      </c>
      <c r="H16" s="158" t="str">
        <f>IFERROR(VLOOKUP($A16,ITEM_MASTER!$A:$I,8,0),"?")</f>
        <v>unreleased</v>
      </c>
      <c r="I16" s="158" t="str">
        <f>IFERROR(VLOOKUP($A16,ITEM_MASTER!$A:$I,9,0),"?")</f>
        <v>Post-Race Rewards</v>
      </c>
      <c r="J16" s="158" t="str">
        <f>IFERROR(VLOOKUP($A16,ITEM_MASTER!$A:$J,10,0),"?")</f>
        <v>/Content/Vehicles/Lux_A/Mesh/RearBumper/SM_LuxA_RearBumper_Luxury.uasset</v>
      </c>
      <c r="K16" s="158" t="str">
        <f>IFERROR(VLOOKUP($A16,ITEM_MASTER!$A:$K,11,0),"?")</f>
        <v/>
      </c>
      <c r="L16" s="158" t="b">
        <f>IFERROR(VLOOKUP($A16,ITEM_MASTER!$A:$N,12,0),"?")</f>
        <v>0</v>
      </c>
    </row>
    <row r="17">
      <c r="A17" s="157" t="s">
        <v>204</v>
      </c>
      <c r="B17" s="159" t="s">
        <v>141</v>
      </c>
      <c r="C17" s="80" t="s">
        <v>651</v>
      </c>
      <c r="D17" s="80" t="s">
        <v>649</v>
      </c>
      <c r="E17" s="160" t="str">
        <f>IFERROR(VLOOKUP(A17,ITEM_MASTER!$A:$E,4,0),"?")</f>
        <v>Spoiler Luxury</v>
      </c>
      <c r="F17" s="160" t="str">
        <f>IFERROR(VLOOKUP(A17,ITEM_MASTER!$A:$E,5,0),"?")</f>
        <v>Cánh Gió Cao Cấp</v>
      </c>
      <c r="G17" s="158" t="str">
        <f>IFERROR(VLOOKUP($A17,ITEM_MASTER!$A:$I,7,0),"?")</f>
        <v>Rare</v>
      </c>
      <c r="H17" s="158" t="str">
        <f>IFERROR(VLOOKUP($A17,ITEM_MASTER!$A:$I,8,0),"?")</f>
        <v>unreleased</v>
      </c>
      <c r="I17" s="158" t="str">
        <f>IFERROR(VLOOKUP($A17,ITEM_MASTER!$A:$I,9,0),"?")</f>
        <v>Post-Race Rewards</v>
      </c>
      <c r="J17" s="158" t="str">
        <f>IFERROR(VLOOKUP($A17,ITEM_MASTER!$A:$J,10,0),"?")</f>
        <v>/Content/Vehicles/Lux_A/Mesh/Spoiler/SM_LuxA_Spoiler_Luxury.uasset</v>
      </c>
      <c r="K17" s="158" t="str">
        <f>IFERROR(VLOOKUP($A17,ITEM_MASTER!$A:$K,11,0),"?")</f>
        <v/>
      </c>
      <c r="L17" s="158" t="b">
        <f>IFERROR(VLOOKUP($A17,ITEM_MASTER!$A:$N,12,0),"?")</f>
        <v>0</v>
      </c>
    </row>
    <row r="18">
      <c r="A18" s="157" t="s">
        <v>208</v>
      </c>
      <c r="B18" s="159" t="s">
        <v>141</v>
      </c>
      <c r="C18" s="159" t="s">
        <v>652</v>
      </c>
      <c r="D18" s="80" t="s">
        <v>649</v>
      </c>
      <c r="E18" s="160" t="str">
        <f>IFERROR(VLOOKUP(A18,ITEM_MASTER!$A:$E,4,0),"?")</f>
        <v>Roof Panel Luxury</v>
      </c>
      <c r="F18" s="160" t="str">
        <f>IFERROR(VLOOKUP(A18,ITEM_MASTER!$A:$E,5,0),"?")</f>
        <v>Nóc Xe Cao Cấp</v>
      </c>
      <c r="G18" s="158" t="str">
        <f>IFERROR(VLOOKUP($A18,ITEM_MASTER!$A:$I,7,0),"?")</f>
        <v>Rare</v>
      </c>
      <c r="H18" s="158" t="str">
        <f>IFERROR(VLOOKUP($A18,ITEM_MASTER!$A:$I,8,0),"?")</f>
        <v>unreleased</v>
      </c>
      <c r="I18" s="158" t="str">
        <f>IFERROR(VLOOKUP($A18,ITEM_MASTER!$A:$I,9,0),"?")</f>
        <v>Post-Race Rewards</v>
      </c>
      <c r="J18" s="158" t="str">
        <f>IFERROR(VLOOKUP($A18,ITEM_MASTER!$A:$J,10,0),"?")</f>
        <v>/Content/Vehicles/Lux_A/Mesh/Roof/SM_LuxA_Roof_Luxury.uasset</v>
      </c>
      <c r="K18" s="158" t="str">
        <f>IFERROR(VLOOKUP($A18,ITEM_MASTER!$A:$K,11,0),"?")</f>
        <v/>
      </c>
      <c r="L18" s="158" t="b">
        <f>IFERROR(VLOOKUP($A18,ITEM_MASTER!$A:$N,12,0),"?")</f>
        <v>0</v>
      </c>
    </row>
    <row r="19">
      <c r="A19" s="157" t="s">
        <v>212</v>
      </c>
      <c r="B19" s="159" t="s">
        <v>141</v>
      </c>
      <c r="C19" s="80" t="s">
        <v>653</v>
      </c>
      <c r="D19" s="80" t="s">
        <v>649</v>
      </c>
      <c r="E19" s="160" t="str">
        <f>IFERROR(VLOOKUP(A19,ITEM_MASTER!$A:$E,4,0),"?")</f>
        <v>Wheel Luxury</v>
      </c>
      <c r="F19" s="160" t="str">
        <f>IFERROR(VLOOKUP(A19,ITEM_MASTER!$A:$E,5,0),"?")</f>
        <v>Mâm Cao Cấp</v>
      </c>
      <c r="G19" s="158" t="str">
        <f>IFERROR(VLOOKUP($A19,ITEM_MASTER!$A:$I,7,0),"?")</f>
        <v>Rare</v>
      </c>
      <c r="H19" s="158" t="str">
        <f>IFERROR(VLOOKUP($A19,ITEM_MASTER!$A:$I,8,0),"?")</f>
        <v>unreleased</v>
      </c>
      <c r="I19" s="158" t="str">
        <f>IFERROR(VLOOKUP($A19,ITEM_MASTER!$A:$I,9,0),"?")</f>
        <v>Post-Race Rewards</v>
      </c>
      <c r="J19" s="158" t="str">
        <f>IFERROR(VLOOKUP($A19,ITEM_MASTER!$A:$J,10,0),"?")</f>
        <v>/Content/Vehicles/Lux_A/Mesh/Wheel/SM_LuxA_Wheel_Luxury.uasset</v>
      </c>
      <c r="K19" s="158" t="str">
        <f>IFERROR(VLOOKUP($A19,ITEM_MASTER!$A:$K,11,0),"?")</f>
        <v/>
      </c>
      <c r="L19" s="158" t="b">
        <f>IFERROR(VLOOKUP($A19,ITEM_MASTER!$A:$N,12,0),"?")</f>
        <v>0</v>
      </c>
    </row>
    <row r="20">
      <c r="A20" s="157" t="s">
        <v>216</v>
      </c>
      <c r="B20" s="159" t="s">
        <v>141</v>
      </c>
      <c r="C20" s="159" t="s">
        <v>654</v>
      </c>
      <c r="D20" s="80" t="s">
        <v>649</v>
      </c>
      <c r="E20" s="160" t="str">
        <f>IFERROR(VLOOKUP(A20,ITEM_MASTER!$A:$E,4,0),"?")</f>
        <v>Side Skirt Luxury</v>
      </c>
      <c r="F20" s="160" t="str">
        <f>IFERROR(VLOOKUP(A20,ITEM_MASTER!$A:$E,5,0),"?")</f>
        <v>Ốp Sườn Cao Cấp</v>
      </c>
      <c r="G20" s="158" t="str">
        <f>IFERROR(VLOOKUP($A20,ITEM_MASTER!$A:$I,7,0),"?")</f>
        <v>Rare</v>
      </c>
      <c r="H20" s="158" t="str">
        <f>IFERROR(VLOOKUP($A20,ITEM_MASTER!$A:$I,8,0),"?")</f>
        <v>unreleased</v>
      </c>
      <c r="I20" s="158" t="str">
        <f>IFERROR(VLOOKUP($A20,ITEM_MASTER!$A:$I,9,0),"?")</f>
        <v>Post-Race Rewards</v>
      </c>
      <c r="J20" s="158" t="str">
        <f>IFERROR(VLOOKUP($A20,ITEM_MASTER!$A:$J,10,0),"?")</f>
        <v>/Content/Vehicles/Lux_A/Mesh/SideSkirt/SM_LuxA_SideBoard_Luxury.uasset</v>
      </c>
      <c r="K20" s="158" t="str">
        <f>IFERROR(VLOOKUP($A20,ITEM_MASTER!$A:$K,11,0),"?")</f>
        <v/>
      </c>
      <c r="L20" s="158" t="b">
        <f>IFERROR(VLOOKUP($A20,ITEM_MASTER!$A:$N,12,0),"?")</f>
        <v>0</v>
      </c>
    </row>
    <row r="21" ht="15.75" customHeight="1">
      <c r="A21" s="157" t="s">
        <v>220</v>
      </c>
      <c r="B21" s="159" t="s">
        <v>141</v>
      </c>
      <c r="C21" s="80" t="s">
        <v>648</v>
      </c>
      <c r="D21" s="80" t="s">
        <v>655</v>
      </c>
      <c r="E21" s="160" t="str">
        <f>IFERROR(VLOOKUP(A21,ITEM_MASTER!$A:$E,4,0),"?")</f>
        <v>Front Bumper Basic</v>
      </c>
      <c r="F21" s="160" t="str">
        <f>IFERROR(VLOOKUP(A21,ITEM_MASTER!$A:$E,5,0),"?")</f>
        <v>Cản Trước Tiêu Chuẩn</v>
      </c>
      <c r="G21" s="158" t="str">
        <f>IFERROR(VLOOKUP($A21,ITEM_MASTER!$A:$I,7,0),"?")</f>
        <v>Common</v>
      </c>
      <c r="H21" s="158" t="str">
        <f>IFERROR(VLOOKUP($A21,ITEM_MASTER!$A:$I,8,0),"?")</f>
        <v>unreleased</v>
      </c>
      <c r="I21" s="158" t="str">
        <f>IFERROR(VLOOKUP($A21,ITEM_MASTER!$A:$I,9,0),"?")</f>
        <v>Car Defaults</v>
      </c>
      <c r="J21" s="158" t="str">
        <f>IFERROR(VLOOKUP($A21,ITEM_MASTER!$A:$J,10,0),"?")</f>
        <v>/Content/Vehicles/VF8/Mesh/FrontBumper/SM_VF8_FrontBumper_Basic.uasset</v>
      </c>
      <c r="K21" s="158" t="str">
        <f>IFERROR(VLOOKUP($A21,ITEM_MASTER!$A:$K,11,0),"?")</f>
        <v/>
      </c>
      <c r="L21" s="158" t="b">
        <f>IFERROR(VLOOKUP($A21,ITEM_MASTER!$A:$N,12,0),"?")</f>
        <v>0</v>
      </c>
    </row>
    <row r="22" ht="15.75" customHeight="1">
      <c r="A22" s="157" t="s">
        <v>222</v>
      </c>
      <c r="B22" s="159" t="s">
        <v>141</v>
      </c>
      <c r="C22" s="159" t="s">
        <v>650</v>
      </c>
      <c r="D22" s="80" t="s">
        <v>655</v>
      </c>
      <c r="E22" s="160" t="str">
        <f>IFERROR(VLOOKUP(A22,ITEM_MASTER!$A:$E,4,0),"?")</f>
        <v>Rear Bumper Basic</v>
      </c>
      <c r="F22" s="160" t="str">
        <f>IFERROR(VLOOKUP(A22,ITEM_MASTER!$A:$E,5,0),"?")</f>
        <v>Cản Sau Tiêu Chuẩn</v>
      </c>
      <c r="G22" s="158" t="str">
        <f>IFERROR(VLOOKUP($A22,ITEM_MASTER!$A:$I,7,0),"?")</f>
        <v>Common</v>
      </c>
      <c r="H22" s="158" t="str">
        <f>IFERROR(VLOOKUP($A22,ITEM_MASTER!$A:$I,8,0),"?")</f>
        <v>unreleased</v>
      </c>
      <c r="I22" s="158" t="str">
        <f>IFERROR(VLOOKUP($A22,ITEM_MASTER!$A:$I,9,0),"?")</f>
        <v>Car Defaults</v>
      </c>
      <c r="J22" s="158" t="str">
        <f>IFERROR(VLOOKUP($A22,ITEM_MASTER!$A:$J,10,0),"?")</f>
        <v>/Content/Vehicles/VF8/Mesh/RearBumper/SM_VF8_RearBumper_Basic.uasset</v>
      </c>
      <c r="K22" s="158" t="str">
        <f>IFERROR(VLOOKUP($A22,ITEM_MASTER!$A:$K,11,0),"?")</f>
        <v/>
      </c>
      <c r="L22" s="158" t="b">
        <f>IFERROR(VLOOKUP($A22,ITEM_MASTER!$A:$N,12,0),"?")</f>
        <v>0</v>
      </c>
    </row>
    <row r="23" ht="15.75" customHeight="1">
      <c r="A23" s="157" t="s">
        <v>224</v>
      </c>
      <c r="B23" s="159" t="s">
        <v>141</v>
      </c>
      <c r="C23" s="80" t="s">
        <v>651</v>
      </c>
      <c r="D23" s="80" t="s">
        <v>655</v>
      </c>
      <c r="E23" s="160" t="str">
        <f>IFERROR(VLOOKUP(A23,ITEM_MASTER!$A:$E,4,0),"?")</f>
        <v>Spoiler Basic</v>
      </c>
      <c r="F23" s="160" t="str">
        <f>IFERROR(VLOOKUP(A23,ITEM_MASTER!$A:$E,5,0),"?")</f>
        <v>Cánh Gió Tiêu Chuẩn</v>
      </c>
      <c r="G23" s="158" t="str">
        <f>IFERROR(VLOOKUP($A23,ITEM_MASTER!$A:$I,7,0),"?")</f>
        <v>Common</v>
      </c>
      <c r="H23" s="158" t="str">
        <f>IFERROR(VLOOKUP($A23,ITEM_MASTER!$A:$I,8,0),"?")</f>
        <v>unreleased</v>
      </c>
      <c r="I23" s="158" t="str">
        <f>IFERROR(VLOOKUP($A23,ITEM_MASTER!$A:$I,9,0),"?")</f>
        <v>Car Defaults</v>
      </c>
      <c r="J23" s="158" t="str">
        <f>IFERROR(VLOOKUP($A23,ITEM_MASTER!$A:$J,10,0),"?")</f>
        <v>/Content/Vehicles/VF8/Mesh/Spoiler/SM_VF8_Spoiler_Basic.uasset</v>
      </c>
      <c r="K23" s="158" t="str">
        <f>IFERROR(VLOOKUP($A23,ITEM_MASTER!$A:$K,11,0),"?")</f>
        <v/>
      </c>
      <c r="L23" s="158" t="b">
        <f>IFERROR(VLOOKUP($A23,ITEM_MASTER!$A:$N,12,0),"?")</f>
        <v>0</v>
      </c>
    </row>
    <row r="24" ht="15.75" customHeight="1">
      <c r="A24" s="157" t="s">
        <v>226</v>
      </c>
      <c r="B24" s="159" t="s">
        <v>141</v>
      </c>
      <c r="C24" s="159" t="s">
        <v>652</v>
      </c>
      <c r="D24" s="80" t="s">
        <v>655</v>
      </c>
      <c r="E24" s="160" t="str">
        <f>IFERROR(VLOOKUP(A24,ITEM_MASTER!$A:$E,4,0),"?")</f>
        <v>Roof Panel Basic</v>
      </c>
      <c r="F24" s="160" t="str">
        <f>IFERROR(VLOOKUP(A24,ITEM_MASTER!$A:$E,5,0),"?")</f>
        <v>Nóc Xe Tiêu Chuẩn</v>
      </c>
      <c r="G24" s="158" t="str">
        <f>IFERROR(VLOOKUP($A24,ITEM_MASTER!$A:$I,7,0),"?")</f>
        <v>Common</v>
      </c>
      <c r="H24" s="158" t="str">
        <f>IFERROR(VLOOKUP($A24,ITEM_MASTER!$A:$I,8,0),"?")</f>
        <v>unreleased</v>
      </c>
      <c r="I24" s="158" t="str">
        <f>IFERROR(VLOOKUP($A24,ITEM_MASTER!$A:$I,9,0),"?")</f>
        <v>Car Defaults</v>
      </c>
      <c r="J24" s="158" t="str">
        <f>IFERROR(VLOOKUP($A24,ITEM_MASTER!$A:$J,10,0),"?")</f>
        <v>/Content/Vehicles/VF8/Mesh/Roof/SM_VF8_Roof_Basic.uasset</v>
      </c>
      <c r="K24" s="158" t="str">
        <f>IFERROR(VLOOKUP($A24,ITEM_MASTER!$A:$K,11,0),"?")</f>
        <v/>
      </c>
      <c r="L24" s="158" t="b">
        <f>IFERROR(VLOOKUP($A24,ITEM_MASTER!$A:$N,12,0),"?")</f>
        <v>0</v>
      </c>
    </row>
    <row r="25" ht="15.75" customHeight="1">
      <c r="A25" s="157" t="s">
        <v>228</v>
      </c>
      <c r="B25" s="159" t="s">
        <v>141</v>
      </c>
      <c r="C25" s="80" t="s">
        <v>653</v>
      </c>
      <c r="D25" s="80" t="s">
        <v>655</v>
      </c>
      <c r="E25" s="160" t="str">
        <f>IFERROR(VLOOKUP(A25,ITEM_MASTER!$A:$E,4,0),"?")</f>
        <v>Wheel Basic</v>
      </c>
      <c r="F25" s="160" t="str">
        <f>IFERROR(VLOOKUP(A25,ITEM_MASTER!$A:$E,5,0),"?")</f>
        <v>Mâm Tiêu Chuẩn</v>
      </c>
      <c r="G25" s="158" t="str">
        <f>IFERROR(VLOOKUP($A25,ITEM_MASTER!$A:$I,7,0),"?")</f>
        <v>Common</v>
      </c>
      <c r="H25" s="158" t="str">
        <f>IFERROR(VLOOKUP($A25,ITEM_MASTER!$A:$I,8,0),"?")</f>
        <v>unreleased</v>
      </c>
      <c r="I25" s="158" t="str">
        <f>IFERROR(VLOOKUP($A25,ITEM_MASTER!$A:$I,9,0),"?")</f>
        <v>Car Defaults</v>
      </c>
      <c r="J25" s="158" t="str">
        <f>IFERROR(VLOOKUP($A25,ITEM_MASTER!$A:$J,10,0),"?")</f>
        <v>/Content/Vehicles/VF8/Mesh/Wheel/SM_VF8_Wheels_Basic.uasset</v>
      </c>
      <c r="K25" s="158" t="str">
        <f>IFERROR(VLOOKUP($A25,ITEM_MASTER!$A:$K,11,0),"?")</f>
        <v/>
      </c>
      <c r="L25" s="158" t="b">
        <f>IFERROR(VLOOKUP($A25,ITEM_MASTER!$A:$N,12,0),"?")</f>
        <v>0</v>
      </c>
    </row>
    <row r="26" ht="15.75" customHeight="1">
      <c r="A26" s="157" t="s">
        <v>230</v>
      </c>
      <c r="B26" s="159" t="s">
        <v>141</v>
      </c>
      <c r="C26" s="159" t="s">
        <v>654</v>
      </c>
      <c r="D26" s="80" t="s">
        <v>655</v>
      </c>
      <c r="E26" s="160" t="str">
        <f>IFERROR(VLOOKUP(A26,ITEM_MASTER!$A:$E,4,0),"?")</f>
        <v>Side Skirt Basic</v>
      </c>
      <c r="F26" s="160" t="str">
        <f>IFERROR(VLOOKUP(A26,ITEM_MASTER!$A:$E,5,0),"?")</f>
        <v>Ốp Sườn Tiêu Chuẩn</v>
      </c>
      <c r="G26" s="158" t="str">
        <f>IFERROR(VLOOKUP($A26,ITEM_MASTER!$A:$I,7,0),"?")</f>
        <v>Common</v>
      </c>
      <c r="H26" s="158" t="str">
        <f>IFERROR(VLOOKUP($A26,ITEM_MASTER!$A:$I,8,0),"?")</f>
        <v>unreleased</v>
      </c>
      <c r="I26" s="158" t="str">
        <f>IFERROR(VLOOKUP($A26,ITEM_MASTER!$A:$I,9,0),"?")</f>
        <v>Car Defaults</v>
      </c>
      <c r="J26" s="158" t="str">
        <f>IFERROR(VLOOKUP($A26,ITEM_MASTER!$A:$J,10,0),"?")</f>
        <v>/Content/Vehicles/VF8/Mesh/SideSkirt/SM_VF8_SideBoard_Basic.uasset</v>
      </c>
      <c r="K26" s="158" t="str">
        <f>IFERROR(VLOOKUP($A26,ITEM_MASTER!$A:$K,11,0),"?")</f>
        <v/>
      </c>
      <c r="L26" s="158" t="b">
        <f>IFERROR(VLOOKUP($A26,ITEM_MASTER!$A:$N,12,0),"?")</f>
        <v>0</v>
      </c>
    </row>
    <row r="27" ht="15.75" customHeight="1">
      <c r="A27" s="157" t="s">
        <v>232</v>
      </c>
      <c r="B27" s="159" t="s">
        <v>141</v>
      </c>
      <c r="C27" s="80" t="s">
        <v>648</v>
      </c>
      <c r="D27" s="80" t="s">
        <v>655</v>
      </c>
      <c r="E27" s="160" t="str">
        <f>IFERROR(VLOOKUP(A27,ITEM_MASTER!$A:$E,4,0),"?")</f>
        <v>Front Bumper Sport</v>
      </c>
      <c r="F27" s="160" t="str">
        <f>IFERROR(VLOOKUP(A27,ITEM_MASTER!$A:$E,5,0),"?")</f>
        <v>Cản Trước Thể Thao</v>
      </c>
      <c r="G27" s="158" t="str">
        <f>IFERROR(VLOOKUP($A27,ITEM_MASTER!$A:$I,7,0),"?")</f>
        <v>UnCommon</v>
      </c>
      <c r="H27" s="158" t="str">
        <f>IFERROR(VLOOKUP($A27,ITEM_MASTER!$A:$I,8,0),"?")</f>
        <v>unreleased</v>
      </c>
      <c r="I27" s="158" t="str">
        <f>IFERROR(VLOOKUP($A27,ITEM_MASTER!$A:$I,9,0),"?")</f>
        <v>Post-Race Rewards</v>
      </c>
      <c r="J27" s="158" t="str">
        <f>IFERROR(VLOOKUP($A27,ITEM_MASTER!$A:$J,10,0),"?")</f>
        <v>/Content/Vehicles/VF8/Mesh/FrontBumper/SM_VF8_FrontBumper_Sport.uasset</v>
      </c>
      <c r="K27" s="158" t="str">
        <f>IFERROR(VLOOKUP($A27,ITEM_MASTER!$A:$K,11,0),"?")</f>
        <v/>
      </c>
      <c r="L27" s="158" t="b">
        <f>IFERROR(VLOOKUP($A27,ITEM_MASTER!$A:$N,12,0),"?")</f>
        <v>0</v>
      </c>
    </row>
    <row r="28" ht="15.75" customHeight="1">
      <c r="A28" s="157" t="s">
        <v>234</v>
      </c>
      <c r="B28" s="159" t="s">
        <v>141</v>
      </c>
      <c r="C28" s="159" t="s">
        <v>650</v>
      </c>
      <c r="D28" s="80" t="s">
        <v>655</v>
      </c>
      <c r="E28" s="160" t="str">
        <f>IFERROR(VLOOKUP(A28,ITEM_MASTER!$A:$E,4,0),"?")</f>
        <v>Rear Bumper Sport</v>
      </c>
      <c r="F28" s="160" t="str">
        <f>IFERROR(VLOOKUP(A28,ITEM_MASTER!$A:$E,5,0),"?")</f>
        <v>Cản Sau Thể Thao</v>
      </c>
      <c r="G28" s="158" t="str">
        <f>IFERROR(VLOOKUP($A28,ITEM_MASTER!$A:$I,7,0),"?")</f>
        <v>UnCommon</v>
      </c>
      <c r="H28" s="158" t="str">
        <f>IFERROR(VLOOKUP($A28,ITEM_MASTER!$A:$I,8,0),"?")</f>
        <v>unreleased</v>
      </c>
      <c r="I28" s="158" t="str">
        <f>IFERROR(VLOOKUP($A28,ITEM_MASTER!$A:$I,9,0),"?")</f>
        <v>Post-Race Rewards</v>
      </c>
      <c r="J28" s="158" t="str">
        <f>IFERROR(VLOOKUP($A28,ITEM_MASTER!$A:$J,10,0),"?")</f>
        <v>/Content/Vehicles/VF8/Mesh/RearBumper/SM_VF8_RearBumper_Sport.uasset</v>
      </c>
      <c r="K28" s="158" t="str">
        <f>IFERROR(VLOOKUP($A28,ITEM_MASTER!$A:$K,11,0),"?")</f>
        <v/>
      </c>
      <c r="L28" s="158" t="b">
        <f>IFERROR(VLOOKUP($A28,ITEM_MASTER!$A:$N,12,0),"?")</f>
        <v>0</v>
      </c>
    </row>
    <row r="29" ht="15.75" customHeight="1">
      <c r="A29" s="157" t="s">
        <v>236</v>
      </c>
      <c r="B29" s="159" t="s">
        <v>141</v>
      </c>
      <c r="C29" s="80" t="s">
        <v>651</v>
      </c>
      <c r="D29" s="80" t="s">
        <v>655</v>
      </c>
      <c r="E29" s="160" t="str">
        <f>IFERROR(VLOOKUP(A29,ITEM_MASTER!$A:$E,4,0),"?")</f>
        <v>Spoiler Sport</v>
      </c>
      <c r="F29" s="160" t="str">
        <f>IFERROR(VLOOKUP(A29,ITEM_MASTER!$A:$E,5,0),"?")</f>
        <v>Cánh Gió Thể Thao</v>
      </c>
      <c r="G29" s="158" t="str">
        <f>IFERROR(VLOOKUP($A29,ITEM_MASTER!$A:$I,7,0),"?")</f>
        <v>UnCommon</v>
      </c>
      <c r="H29" s="158" t="str">
        <f>IFERROR(VLOOKUP($A29,ITEM_MASTER!$A:$I,8,0),"?")</f>
        <v>unreleased</v>
      </c>
      <c r="I29" s="158" t="str">
        <f>IFERROR(VLOOKUP($A29,ITEM_MASTER!$A:$I,9,0),"?")</f>
        <v>Post-Race Rewards</v>
      </c>
      <c r="J29" s="158" t="str">
        <f>IFERROR(VLOOKUP($A29,ITEM_MASTER!$A:$J,10,0),"?")</f>
        <v>/Content/Vehicles/VF8/Mesh/Spoiler/SM_VF8_Spoiler_Sport.uasset</v>
      </c>
      <c r="K29" s="158" t="str">
        <f>IFERROR(VLOOKUP($A29,ITEM_MASTER!$A:$K,11,0),"?")</f>
        <v/>
      </c>
      <c r="L29" s="158" t="b">
        <f>IFERROR(VLOOKUP($A29,ITEM_MASTER!$A:$N,12,0),"?")</f>
        <v>0</v>
      </c>
    </row>
    <row r="30" ht="15.75" customHeight="1">
      <c r="A30" s="157" t="s">
        <v>238</v>
      </c>
      <c r="B30" s="159" t="s">
        <v>141</v>
      </c>
      <c r="C30" s="159" t="s">
        <v>652</v>
      </c>
      <c r="D30" s="80" t="s">
        <v>655</v>
      </c>
      <c r="E30" s="160" t="str">
        <f>IFERROR(VLOOKUP(A30,ITEM_MASTER!$A:$E,4,0),"?")</f>
        <v>Roof Panel Sport</v>
      </c>
      <c r="F30" s="160" t="str">
        <f>IFERROR(VLOOKUP(A30,ITEM_MASTER!$A:$E,5,0),"?")</f>
        <v>Nóc Xe Thể Thao</v>
      </c>
      <c r="G30" s="158" t="str">
        <f>IFERROR(VLOOKUP($A30,ITEM_MASTER!$A:$I,7,0),"?")</f>
        <v>UnCommon</v>
      </c>
      <c r="H30" s="158" t="str">
        <f>IFERROR(VLOOKUP($A30,ITEM_MASTER!$A:$I,8,0),"?")</f>
        <v>unreleased</v>
      </c>
      <c r="I30" s="158" t="str">
        <f>IFERROR(VLOOKUP($A30,ITEM_MASTER!$A:$I,9,0),"?")</f>
        <v>Post-Race Rewards</v>
      </c>
      <c r="J30" s="158" t="str">
        <f>IFERROR(VLOOKUP($A30,ITEM_MASTER!$A:$J,10,0),"?")</f>
        <v>/Content/Vehicles/VF8/Mesh/Roof/SM_VF8_Roof_Sport.uasset</v>
      </c>
      <c r="K30" s="158" t="str">
        <f>IFERROR(VLOOKUP($A30,ITEM_MASTER!$A:$K,11,0),"?")</f>
        <v/>
      </c>
      <c r="L30" s="158" t="b">
        <f>IFERROR(VLOOKUP($A30,ITEM_MASTER!$A:$N,12,0),"?")</f>
        <v>0</v>
      </c>
    </row>
    <row r="31" ht="15.75" customHeight="1">
      <c r="A31" s="157" t="s">
        <v>240</v>
      </c>
      <c r="B31" s="159" t="s">
        <v>141</v>
      </c>
      <c r="C31" s="80" t="s">
        <v>653</v>
      </c>
      <c r="D31" s="80" t="s">
        <v>655</v>
      </c>
      <c r="E31" s="160" t="str">
        <f>IFERROR(VLOOKUP(A31,ITEM_MASTER!$A:$E,4,0),"?")</f>
        <v>Wheel Sport</v>
      </c>
      <c r="F31" s="160" t="str">
        <f>IFERROR(VLOOKUP(A31,ITEM_MASTER!$A:$E,5,0),"?")</f>
        <v>Mâm Thể Thao</v>
      </c>
      <c r="G31" s="158" t="str">
        <f>IFERROR(VLOOKUP($A31,ITEM_MASTER!$A:$I,7,0),"?")</f>
        <v>UnCommon</v>
      </c>
      <c r="H31" s="158" t="str">
        <f>IFERROR(VLOOKUP($A31,ITEM_MASTER!$A:$I,8,0),"?")</f>
        <v>unreleased</v>
      </c>
      <c r="I31" s="158" t="str">
        <f>IFERROR(VLOOKUP($A31,ITEM_MASTER!$A:$I,9,0),"?")</f>
        <v>Post-Race Rewards</v>
      </c>
      <c r="J31" s="158" t="str">
        <f>IFERROR(VLOOKUP($A31,ITEM_MASTER!$A:$J,10,0),"?")</f>
        <v>/Content/Vehicles/VF8/Mesh/Wheel/SM_VF8_Wheels_Sport.uasset</v>
      </c>
      <c r="K31" s="158" t="str">
        <f>IFERROR(VLOOKUP($A31,ITEM_MASTER!$A:$K,11,0),"?")</f>
        <v/>
      </c>
      <c r="L31" s="158" t="b">
        <f>IFERROR(VLOOKUP($A31,ITEM_MASTER!$A:$N,12,0),"?")</f>
        <v>0</v>
      </c>
    </row>
    <row r="32" ht="15.75" customHeight="1">
      <c r="A32" s="157" t="s">
        <v>242</v>
      </c>
      <c r="B32" s="159" t="str">
        <f t="shared" ref="B32:B140" si="1">MID(A32,FIND("_",A32) + 1,FIND(CHAR(160),SUBSTITUTE(A32,"_",CHAR(160),2)) - 1 - (FIND("_",A32)))</f>
        <v>part</v>
      </c>
      <c r="C32" s="159" t="s">
        <v>654</v>
      </c>
      <c r="D32" s="80" t="s">
        <v>655</v>
      </c>
      <c r="E32" s="160" t="str">
        <f>IFERROR(VLOOKUP(A32,ITEM_MASTER!$A:$E,4,0),"?")</f>
        <v>Side Skirt Sport</v>
      </c>
      <c r="F32" s="160" t="str">
        <f>IFERROR(VLOOKUP(A32,ITEM_MASTER!$A:$E,5,0),"?")</f>
        <v>Ốp Sườn Thể Thao</v>
      </c>
      <c r="G32" s="158" t="str">
        <f>IFERROR(VLOOKUP($A32,ITEM_MASTER!$A:$I,7,0),"?")</f>
        <v>UnCommon</v>
      </c>
      <c r="H32" s="158" t="str">
        <f>IFERROR(VLOOKUP($A32,ITEM_MASTER!$A:$I,8,0),"?")</f>
        <v>unreleased</v>
      </c>
      <c r="I32" s="158" t="str">
        <f>IFERROR(VLOOKUP($A32,ITEM_MASTER!$A:$I,9,0),"?")</f>
        <v>Post-Race Rewards</v>
      </c>
      <c r="J32" s="158" t="str">
        <f>IFERROR(VLOOKUP($A32,ITEM_MASTER!$A:$J,10,0),"?")</f>
        <v>/Content/Vehicles/VF8/Mesh/SideSkirt/SM_VF8_SideBoard_Sport.uasset</v>
      </c>
      <c r="K32" s="158" t="str">
        <f>IFERROR(VLOOKUP($A32,ITEM_MASTER!$A:$K,11,0),"?")</f>
        <v/>
      </c>
      <c r="L32" s="158" t="b">
        <f>IFERROR(VLOOKUP($A32,ITEM_MASTER!$A:$N,12,0),"?")</f>
        <v>0</v>
      </c>
    </row>
    <row r="33" ht="15.75" customHeight="1">
      <c r="A33" s="157" t="s">
        <v>244</v>
      </c>
      <c r="B33" s="159" t="str">
        <f t="shared" si="1"/>
        <v>part</v>
      </c>
      <c r="C33" s="80" t="s">
        <v>648</v>
      </c>
      <c r="D33" s="80" t="s">
        <v>655</v>
      </c>
      <c r="E33" s="160" t="str">
        <f>IFERROR(VLOOKUP(A33,ITEM_MASTER!$A:$E,4,0),"?")</f>
        <v>Front Bumper Luxury</v>
      </c>
      <c r="F33" s="160" t="str">
        <f>IFERROR(VLOOKUP(A33,ITEM_MASTER!$A:$E,5,0),"?")</f>
        <v>Cản Trước Cao Cấp</v>
      </c>
      <c r="G33" s="158" t="str">
        <f>IFERROR(VLOOKUP($A33,ITEM_MASTER!$A:$I,7,0),"?")</f>
        <v>Rare</v>
      </c>
      <c r="H33" s="158" t="str">
        <f>IFERROR(VLOOKUP($A33,ITEM_MASTER!$A:$I,8,0),"?")</f>
        <v>unreleased</v>
      </c>
      <c r="I33" s="158" t="str">
        <f>IFERROR(VLOOKUP($A33,ITEM_MASTER!$A:$I,9,0),"?")</f>
        <v>Post-Race Rewards</v>
      </c>
      <c r="J33" s="158" t="str">
        <f>IFERROR(VLOOKUP($A33,ITEM_MASTER!$A:$J,10,0),"?")</f>
        <v>/Content/Vehicles/VF8/Mesh/FrontBumper/SM_VF8_FrontBumper_Luxury.uasset</v>
      </c>
      <c r="K33" s="158" t="str">
        <f>IFERROR(VLOOKUP($A33,ITEM_MASTER!$A:$K,11,0),"?")</f>
        <v/>
      </c>
      <c r="L33" s="158" t="b">
        <f>IFERROR(VLOOKUP($A33,ITEM_MASTER!$A:$N,12,0),"?")</f>
        <v>0</v>
      </c>
    </row>
    <row r="34" ht="15.75" customHeight="1">
      <c r="A34" s="157" t="s">
        <v>246</v>
      </c>
      <c r="B34" s="159" t="str">
        <f t="shared" si="1"/>
        <v>part</v>
      </c>
      <c r="C34" s="159" t="s">
        <v>650</v>
      </c>
      <c r="D34" s="80" t="s">
        <v>655</v>
      </c>
      <c r="E34" s="160" t="str">
        <f>IFERROR(VLOOKUP(A34,ITEM_MASTER!$A:$E,4,0),"?")</f>
        <v>Rear Bumper Luxury</v>
      </c>
      <c r="F34" s="160" t="str">
        <f>IFERROR(VLOOKUP(A34,ITEM_MASTER!$A:$E,5,0),"?")</f>
        <v>Cản Sau Cao Cấp</v>
      </c>
      <c r="G34" s="158" t="str">
        <f>IFERROR(VLOOKUP($A34,ITEM_MASTER!$A:$I,7,0),"?")</f>
        <v>Rare</v>
      </c>
      <c r="H34" s="158" t="str">
        <f>IFERROR(VLOOKUP($A34,ITEM_MASTER!$A:$I,8,0),"?")</f>
        <v>unreleased</v>
      </c>
      <c r="I34" s="158" t="str">
        <f>IFERROR(VLOOKUP($A34,ITEM_MASTER!$A:$I,9,0),"?")</f>
        <v>Post-Race Rewards</v>
      </c>
      <c r="J34" s="158" t="str">
        <f>IFERROR(VLOOKUP($A34,ITEM_MASTER!$A:$J,10,0),"?")</f>
        <v>/Content/Vehicles/VF8/Mesh/RearBumper/SM_VF8_RearBumper_Luxury.uasset</v>
      </c>
      <c r="K34" s="158" t="str">
        <f>IFERROR(VLOOKUP($A34,ITEM_MASTER!$A:$K,11,0),"?")</f>
        <v/>
      </c>
      <c r="L34" s="158" t="b">
        <f>IFERROR(VLOOKUP($A34,ITEM_MASTER!$A:$N,12,0),"?")</f>
        <v>0</v>
      </c>
    </row>
    <row r="35" ht="15.75" customHeight="1">
      <c r="A35" s="157" t="s">
        <v>248</v>
      </c>
      <c r="B35" s="159" t="str">
        <f t="shared" si="1"/>
        <v>part</v>
      </c>
      <c r="C35" s="80" t="s">
        <v>651</v>
      </c>
      <c r="D35" s="80" t="s">
        <v>655</v>
      </c>
      <c r="E35" s="160" t="str">
        <f>IFERROR(VLOOKUP(A35,ITEM_MASTER!$A:$E,4,0),"?")</f>
        <v>Spoiler Luxury</v>
      </c>
      <c r="F35" s="160" t="str">
        <f>IFERROR(VLOOKUP(A35,ITEM_MASTER!$A:$E,5,0),"?")</f>
        <v>Cánh Gió Cao Cấp</v>
      </c>
      <c r="G35" s="158" t="str">
        <f>IFERROR(VLOOKUP($A35,ITEM_MASTER!$A:$I,7,0),"?")</f>
        <v>Rare</v>
      </c>
      <c r="H35" s="158" t="str">
        <f>IFERROR(VLOOKUP($A35,ITEM_MASTER!$A:$I,8,0),"?")</f>
        <v>unreleased</v>
      </c>
      <c r="I35" s="158" t="str">
        <f>IFERROR(VLOOKUP($A35,ITEM_MASTER!$A:$I,9,0),"?")</f>
        <v>Post-Race Rewards</v>
      </c>
      <c r="J35" s="158" t="str">
        <f>IFERROR(VLOOKUP($A35,ITEM_MASTER!$A:$J,10,0),"?")</f>
        <v>/Content/Vehicles/VF8/Mesh/Spoiler/SM_VF8_Spoiler_Luxury.uasset</v>
      </c>
      <c r="K35" s="158" t="str">
        <f>IFERROR(VLOOKUP($A35,ITEM_MASTER!$A:$K,11,0),"?")</f>
        <v/>
      </c>
      <c r="L35" s="158" t="b">
        <f>IFERROR(VLOOKUP($A35,ITEM_MASTER!$A:$N,12,0),"?")</f>
        <v>0</v>
      </c>
    </row>
    <row r="36" ht="15.75" customHeight="1">
      <c r="A36" s="157" t="s">
        <v>250</v>
      </c>
      <c r="B36" s="159" t="str">
        <f t="shared" si="1"/>
        <v>part</v>
      </c>
      <c r="C36" s="159" t="s">
        <v>652</v>
      </c>
      <c r="D36" s="80" t="s">
        <v>655</v>
      </c>
      <c r="E36" s="160" t="str">
        <f>IFERROR(VLOOKUP(A36,ITEM_MASTER!$A:$E,4,0),"?")</f>
        <v>Roof Panel Luxury</v>
      </c>
      <c r="F36" s="160" t="str">
        <f>IFERROR(VLOOKUP(A36,ITEM_MASTER!$A:$E,5,0),"?")</f>
        <v>Nóc Xe Cao Cấp</v>
      </c>
      <c r="G36" s="158" t="str">
        <f>IFERROR(VLOOKUP($A36,ITEM_MASTER!$A:$I,7,0),"?")</f>
        <v>Rare</v>
      </c>
      <c r="H36" s="158" t="str">
        <f>IFERROR(VLOOKUP($A36,ITEM_MASTER!$A:$I,8,0),"?")</f>
        <v>unreleased</v>
      </c>
      <c r="I36" s="158" t="str">
        <f>IFERROR(VLOOKUP($A36,ITEM_MASTER!$A:$I,9,0),"?")</f>
        <v>Post-Race Rewards</v>
      </c>
      <c r="J36" s="158" t="str">
        <f>IFERROR(VLOOKUP($A36,ITEM_MASTER!$A:$J,10,0),"?")</f>
        <v>/Content/Vehicles/VF8/Mesh/Roof/SM_VF8_Roof_Luxury.uasset</v>
      </c>
      <c r="K36" s="158" t="str">
        <f>IFERROR(VLOOKUP($A36,ITEM_MASTER!$A:$K,11,0),"?")</f>
        <v/>
      </c>
      <c r="L36" s="158" t="b">
        <f>IFERROR(VLOOKUP($A36,ITEM_MASTER!$A:$N,12,0),"?")</f>
        <v>0</v>
      </c>
    </row>
    <row r="37" ht="15.75" customHeight="1">
      <c r="A37" s="157" t="s">
        <v>252</v>
      </c>
      <c r="B37" s="159" t="str">
        <f t="shared" si="1"/>
        <v>part</v>
      </c>
      <c r="C37" s="80" t="s">
        <v>653</v>
      </c>
      <c r="D37" s="80" t="s">
        <v>655</v>
      </c>
      <c r="E37" s="160" t="str">
        <f>IFERROR(VLOOKUP(A37,ITEM_MASTER!$A:$E,4,0),"?")</f>
        <v>Wheel Luxury</v>
      </c>
      <c r="F37" s="160" t="str">
        <f>IFERROR(VLOOKUP(A37,ITEM_MASTER!$A:$E,5,0),"?")</f>
        <v>Mâm Cao Cấp</v>
      </c>
      <c r="G37" s="158" t="str">
        <f>IFERROR(VLOOKUP($A37,ITEM_MASTER!$A:$I,7,0),"?")</f>
        <v>Rare</v>
      </c>
      <c r="H37" s="158" t="str">
        <f>IFERROR(VLOOKUP($A37,ITEM_MASTER!$A:$I,8,0),"?")</f>
        <v>unreleased</v>
      </c>
      <c r="I37" s="158" t="str">
        <f>IFERROR(VLOOKUP($A37,ITEM_MASTER!$A:$I,9,0),"?")</f>
        <v>Post-Race Rewards</v>
      </c>
      <c r="J37" s="158" t="str">
        <f>IFERROR(VLOOKUP($A37,ITEM_MASTER!$A:$J,10,0),"?")</f>
        <v>/Content/Vehicles/VF8/Mesh/Wheel/SM_VF8_Wheels_Luxury.uasset</v>
      </c>
      <c r="K37" s="158" t="str">
        <f>IFERROR(VLOOKUP($A37,ITEM_MASTER!$A:$K,11,0),"?")</f>
        <v/>
      </c>
      <c r="L37" s="158" t="b">
        <f>IFERROR(VLOOKUP($A37,ITEM_MASTER!$A:$N,12,0),"?")</f>
        <v>0</v>
      </c>
    </row>
    <row r="38" ht="15.75" customHeight="1">
      <c r="A38" s="157" t="s">
        <v>254</v>
      </c>
      <c r="B38" s="159" t="str">
        <f t="shared" si="1"/>
        <v>part</v>
      </c>
      <c r="C38" s="159" t="s">
        <v>654</v>
      </c>
      <c r="D38" s="80" t="s">
        <v>655</v>
      </c>
      <c r="E38" s="160" t="str">
        <f>IFERROR(VLOOKUP(A38,ITEM_MASTER!$A:$E,4,0),"?")</f>
        <v>Side Skirt Luxury</v>
      </c>
      <c r="F38" s="160" t="str">
        <f>IFERROR(VLOOKUP(A38,ITEM_MASTER!$A:$E,5,0),"?")</f>
        <v>Ốp Sườn Cao Cấp</v>
      </c>
      <c r="G38" s="158" t="str">
        <f>IFERROR(VLOOKUP($A38,ITEM_MASTER!$A:$I,7,0),"?")</f>
        <v>Rare</v>
      </c>
      <c r="H38" s="158" t="str">
        <f>IFERROR(VLOOKUP($A38,ITEM_MASTER!$A:$I,8,0),"?")</f>
        <v>unreleased</v>
      </c>
      <c r="I38" s="158" t="str">
        <f>IFERROR(VLOOKUP($A38,ITEM_MASTER!$A:$I,9,0),"?")</f>
        <v>Post-Race Rewards</v>
      </c>
      <c r="J38" s="158" t="str">
        <f>IFERROR(VLOOKUP($A38,ITEM_MASTER!$A:$J,10,0),"?")</f>
        <v>/Content/Vehicles/VF8/Mesh/SideSkirt/SM_VF8_SideBoard_Luxury.uasset</v>
      </c>
      <c r="K38" s="158" t="str">
        <f>IFERROR(VLOOKUP($A38,ITEM_MASTER!$A:$K,11,0),"?")</f>
        <v/>
      </c>
      <c r="L38" s="158" t="b">
        <f>IFERROR(VLOOKUP($A38,ITEM_MASTER!$A:$N,12,0),"?")</f>
        <v>0</v>
      </c>
    </row>
    <row r="39" ht="15.75" customHeight="1">
      <c r="A39" s="157" t="s">
        <v>256</v>
      </c>
      <c r="B39" s="159" t="str">
        <f t="shared" si="1"/>
        <v>part</v>
      </c>
      <c r="C39" s="80" t="s">
        <v>648</v>
      </c>
      <c r="D39" s="80" t="s">
        <v>656</v>
      </c>
      <c r="E39" s="160" t="str">
        <f>IFERROR(VLOOKUP(A39,ITEM_MASTER!$A:$E,4,0),"?")</f>
        <v>Front Bumper Basic</v>
      </c>
      <c r="F39" s="160" t="str">
        <f>IFERROR(VLOOKUP(A39,ITEM_MASTER!$A:$E,5,0),"?")</f>
        <v>Cản Trước Tiêu Chuẩn</v>
      </c>
      <c r="G39" s="158" t="str">
        <f>IFERROR(VLOOKUP($A39,ITEM_MASTER!$A:$I,7,0),"?")</f>
        <v>Common</v>
      </c>
      <c r="H39" s="158" t="str">
        <f>IFERROR(VLOOKUP($A39,ITEM_MASTER!$A:$I,8,0),"?")</f>
        <v>unreleased</v>
      </c>
      <c r="I39" s="158" t="str">
        <f>IFERROR(VLOOKUP($A39,ITEM_MASTER!$A:$I,9,0),"?")</f>
        <v>Car Defaults</v>
      </c>
      <c r="J39" s="158" t="str">
        <f>IFERROR(VLOOKUP($A39,ITEM_MASTER!$A:$J,10,0),"?")</f>
        <v>/Content/Vehicles/MercedesBenz_AMG_GT_R/Meshs/FrontBumper/SM_Mercedes_Benz_AMG_GT_FrontBumper.uasset</v>
      </c>
      <c r="K39" s="158" t="str">
        <f>IFERROR(VLOOKUP($A39,ITEM_MASTER!$A:$K,11,0),"?")</f>
        <v/>
      </c>
      <c r="L39" s="158" t="b">
        <f>IFERROR(VLOOKUP($A39,ITEM_MASTER!$A:$N,12,0),"?")</f>
        <v>0</v>
      </c>
    </row>
    <row r="40" ht="15.75" customHeight="1">
      <c r="A40" s="157" t="s">
        <v>258</v>
      </c>
      <c r="B40" s="159" t="str">
        <f t="shared" si="1"/>
        <v>part</v>
      </c>
      <c r="C40" s="159" t="s">
        <v>650</v>
      </c>
      <c r="D40" s="80" t="s">
        <v>656</v>
      </c>
      <c r="E40" s="160" t="str">
        <f>IFERROR(VLOOKUP(A40,ITEM_MASTER!$A:$E,4,0),"?")</f>
        <v>Rear Bumper Basic</v>
      </c>
      <c r="F40" s="160" t="str">
        <f>IFERROR(VLOOKUP(A40,ITEM_MASTER!$A:$E,5,0),"?")</f>
        <v>Cản Sau Tiêu Chuẩn</v>
      </c>
      <c r="G40" s="158" t="str">
        <f>IFERROR(VLOOKUP($A40,ITEM_MASTER!$A:$I,7,0),"?")</f>
        <v>Common</v>
      </c>
      <c r="H40" s="158" t="str">
        <f>IFERROR(VLOOKUP($A40,ITEM_MASTER!$A:$I,8,0),"?")</f>
        <v>unreleased</v>
      </c>
      <c r="I40" s="158" t="str">
        <f>IFERROR(VLOOKUP($A40,ITEM_MASTER!$A:$I,9,0),"?")</f>
        <v>Car Defaults</v>
      </c>
      <c r="J40" s="158" t="str">
        <f>IFERROR(VLOOKUP($A40,ITEM_MASTER!$A:$J,10,0),"?")</f>
        <v>/Content/Vehicles/MercedesBenz_AMG_GT_R/Meshs/RearBumper/SM_Mercedes_Benz_AMG_GT_RearBumper.uasset</v>
      </c>
      <c r="K40" s="158" t="str">
        <f>IFERROR(VLOOKUP($A40,ITEM_MASTER!$A:$K,11,0),"?")</f>
        <v/>
      </c>
      <c r="L40" s="158" t="b">
        <f>IFERROR(VLOOKUP($A40,ITEM_MASTER!$A:$N,12,0),"?")</f>
        <v>0</v>
      </c>
    </row>
    <row r="41" ht="15.75" customHeight="1">
      <c r="A41" s="157" t="s">
        <v>260</v>
      </c>
      <c r="B41" s="159" t="str">
        <f t="shared" si="1"/>
        <v>part</v>
      </c>
      <c r="C41" s="80" t="s">
        <v>651</v>
      </c>
      <c r="D41" s="80" t="s">
        <v>656</v>
      </c>
      <c r="E41" s="160" t="str">
        <f>IFERROR(VLOOKUP(A41,ITEM_MASTER!$A:$E,4,0),"?")</f>
        <v>Spoiler Basic</v>
      </c>
      <c r="F41" s="160" t="str">
        <f>IFERROR(VLOOKUP(A41,ITEM_MASTER!$A:$E,5,0),"?")</f>
        <v>Cánh Gió Tiêu Chuẩn</v>
      </c>
      <c r="G41" s="158" t="str">
        <f>IFERROR(VLOOKUP($A41,ITEM_MASTER!$A:$I,7,0),"?")</f>
        <v>Common</v>
      </c>
      <c r="H41" s="158" t="str">
        <f>IFERROR(VLOOKUP($A41,ITEM_MASTER!$A:$I,8,0),"?")</f>
        <v>unreleased</v>
      </c>
      <c r="I41" s="158" t="str">
        <f>IFERROR(VLOOKUP($A41,ITEM_MASTER!$A:$I,9,0),"?")</f>
        <v>Car Defaults</v>
      </c>
      <c r="J41" s="158" t="str">
        <f>IFERROR(VLOOKUP($A41,ITEM_MASTER!$A:$J,10,0),"?")</f>
        <v>/Content/Vehicles/MercedesBenz_AMG_GT_R/Meshs/Spoiler/SM_Mercedes_Benz_AMG_GT_Spoiler.uasset</v>
      </c>
      <c r="K41" s="158" t="str">
        <f>IFERROR(VLOOKUP($A41,ITEM_MASTER!$A:$K,11,0),"?")</f>
        <v/>
      </c>
      <c r="L41" s="158" t="b">
        <f>IFERROR(VLOOKUP($A41,ITEM_MASTER!$A:$N,12,0),"?")</f>
        <v>0</v>
      </c>
    </row>
    <row r="42" ht="15.75" customHeight="1">
      <c r="A42" s="157" t="s">
        <v>262</v>
      </c>
      <c r="B42" s="159" t="str">
        <f t="shared" si="1"/>
        <v>part</v>
      </c>
      <c r="C42" s="159" t="s">
        <v>652</v>
      </c>
      <c r="D42" s="80" t="s">
        <v>656</v>
      </c>
      <c r="E42" s="160" t="str">
        <f>IFERROR(VLOOKUP(A42,ITEM_MASTER!$A:$E,4,0),"?")</f>
        <v>Roof Panel Basic</v>
      </c>
      <c r="F42" s="160" t="str">
        <f>IFERROR(VLOOKUP(A42,ITEM_MASTER!$A:$E,5,0),"?")</f>
        <v>Nóc Xe Tiêu Chuẩn</v>
      </c>
      <c r="G42" s="158" t="str">
        <f>IFERROR(VLOOKUP($A42,ITEM_MASTER!$A:$I,7,0),"?")</f>
        <v>Common</v>
      </c>
      <c r="H42" s="158" t="str">
        <f>IFERROR(VLOOKUP($A42,ITEM_MASTER!$A:$I,8,0),"?")</f>
        <v>unreleased</v>
      </c>
      <c r="I42" s="158" t="str">
        <f>IFERROR(VLOOKUP($A42,ITEM_MASTER!$A:$I,9,0),"?")</f>
        <v>Car Defaults</v>
      </c>
      <c r="J42" s="158" t="str">
        <f>IFERROR(VLOOKUP($A42,ITEM_MASTER!$A:$J,10,0),"?")</f>
        <v>/Content/Vehicles/MercedesBenz_AMG_GT_R/Meshs/Roof/SM_Mercedes_Benz_AMG_GT_Roof.uasset</v>
      </c>
      <c r="K42" s="158" t="str">
        <f>IFERROR(VLOOKUP($A42,ITEM_MASTER!$A:$K,11,0),"?")</f>
        <v/>
      </c>
      <c r="L42" s="158" t="b">
        <f>IFERROR(VLOOKUP($A42,ITEM_MASTER!$A:$N,12,0),"?")</f>
        <v>0</v>
      </c>
    </row>
    <row r="43" ht="15.75" customHeight="1">
      <c r="A43" s="157" t="s">
        <v>264</v>
      </c>
      <c r="B43" s="159" t="str">
        <f t="shared" si="1"/>
        <v>part</v>
      </c>
      <c r="C43" s="80" t="s">
        <v>653</v>
      </c>
      <c r="D43" s="80" t="s">
        <v>656</v>
      </c>
      <c r="E43" s="160" t="str">
        <f>IFERROR(VLOOKUP(A43,ITEM_MASTER!$A:$E,4,0),"?")</f>
        <v>Wheel Basic</v>
      </c>
      <c r="F43" s="160" t="str">
        <f>IFERROR(VLOOKUP(A43,ITEM_MASTER!$A:$E,5,0),"?")</f>
        <v>Mâm Tiêu Chuẩn</v>
      </c>
      <c r="G43" s="158" t="str">
        <f>IFERROR(VLOOKUP($A43,ITEM_MASTER!$A:$I,7,0),"?")</f>
        <v>Common</v>
      </c>
      <c r="H43" s="158" t="str">
        <f>IFERROR(VLOOKUP($A43,ITEM_MASTER!$A:$I,8,0),"?")</f>
        <v>unreleased</v>
      </c>
      <c r="I43" s="158" t="str">
        <f>IFERROR(VLOOKUP($A43,ITEM_MASTER!$A:$I,9,0),"?")</f>
        <v>Car Defaults</v>
      </c>
      <c r="J43" s="158" t="str">
        <f>IFERROR(VLOOKUP($A43,ITEM_MASTER!$A:$J,10,0),"?")</f>
        <v>/Content/Vehicles/MercedesBenz_AMG_GT_R/Meshs/Wheel/SM_AMG_Wheels_Basic.uasset</v>
      </c>
      <c r="K43" s="158" t="str">
        <f>IFERROR(VLOOKUP($A43,ITEM_MASTER!$A:$K,11,0),"?")</f>
        <v/>
      </c>
      <c r="L43" s="158" t="b">
        <f>IFERROR(VLOOKUP($A43,ITEM_MASTER!$A:$N,12,0),"?")</f>
        <v>0</v>
      </c>
    </row>
    <row r="44" ht="15.75" customHeight="1">
      <c r="A44" s="157" t="s">
        <v>266</v>
      </c>
      <c r="B44" s="159" t="str">
        <f t="shared" si="1"/>
        <v>part</v>
      </c>
      <c r="C44" s="159" t="s">
        <v>654</v>
      </c>
      <c r="D44" s="80" t="s">
        <v>656</v>
      </c>
      <c r="E44" s="160" t="str">
        <f>IFERROR(VLOOKUP(A44,ITEM_MASTER!$A:$E,4,0),"?")</f>
        <v>Side Skirt Basic</v>
      </c>
      <c r="F44" s="160" t="str">
        <f>IFERROR(VLOOKUP(A44,ITEM_MASTER!$A:$E,5,0),"?")</f>
        <v>Ốp Sườn Tiêu Chuẩn</v>
      </c>
      <c r="G44" s="158" t="str">
        <f>IFERROR(VLOOKUP($A44,ITEM_MASTER!$A:$I,7,0),"?")</f>
        <v>Common</v>
      </c>
      <c r="H44" s="158" t="str">
        <f>IFERROR(VLOOKUP($A44,ITEM_MASTER!$A:$I,8,0),"?")</f>
        <v>unreleased</v>
      </c>
      <c r="I44" s="158" t="str">
        <f>IFERROR(VLOOKUP($A44,ITEM_MASTER!$A:$I,9,0),"?")</f>
        <v>Car Defaults</v>
      </c>
      <c r="J44" s="158" t="str">
        <f>IFERROR(VLOOKUP($A44,ITEM_MASTER!$A:$J,10,0),"?")</f>
        <v>/Content/Vehicles/MercedesBenz_AMG_GT_R/Meshs/SideSkirt/SM_Mercedes_Benz_AMG_GT_SideBoard.uasset</v>
      </c>
      <c r="K44" s="158" t="str">
        <f>IFERROR(VLOOKUP($A44,ITEM_MASTER!$A:$K,11,0),"?")</f>
        <v/>
      </c>
      <c r="L44" s="158" t="b">
        <f>IFERROR(VLOOKUP($A44,ITEM_MASTER!$A:$N,12,0),"?")</f>
        <v>0</v>
      </c>
    </row>
    <row r="45" ht="15.75" customHeight="1">
      <c r="A45" s="157" t="s">
        <v>268</v>
      </c>
      <c r="B45" s="159" t="str">
        <f t="shared" si="1"/>
        <v>part</v>
      </c>
      <c r="C45" s="80" t="s">
        <v>648</v>
      </c>
      <c r="D45" s="80" t="s">
        <v>656</v>
      </c>
      <c r="E45" s="160" t="str">
        <f>IFERROR(VLOOKUP(A45,ITEM_MASTER!$A:$E,4,0),"?")</f>
        <v>Front Bumper Sport</v>
      </c>
      <c r="F45" s="160" t="str">
        <f>IFERROR(VLOOKUP(A45,ITEM_MASTER!$A:$E,5,0),"?")</f>
        <v>Cản Trước Thể Thao</v>
      </c>
      <c r="G45" s="158" t="str">
        <f>IFERROR(VLOOKUP($A45,ITEM_MASTER!$A:$I,7,0),"?")</f>
        <v>UnCommon</v>
      </c>
      <c r="H45" s="158" t="str">
        <f>IFERROR(VLOOKUP($A45,ITEM_MASTER!$A:$I,8,0),"?")</f>
        <v>unreleased</v>
      </c>
      <c r="I45" s="158" t="str">
        <f>IFERROR(VLOOKUP($A45,ITEM_MASTER!$A:$I,9,0),"?")</f>
        <v>Post-Race Rewards</v>
      </c>
      <c r="J45" s="158" t="str">
        <f>IFERROR(VLOOKUP($A45,ITEM_MASTER!$A:$J,10,0),"?")</f>
        <v>/Content/Vehicles/MercedesBenz_AMG_GT_R/Meshs/FrontBumper/SM_AMG_FrontBumper_Sport.uasset</v>
      </c>
      <c r="K45" s="158" t="str">
        <f>IFERROR(VLOOKUP($A45,ITEM_MASTER!$A:$K,11,0),"?")</f>
        <v/>
      </c>
      <c r="L45" s="158" t="b">
        <f>IFERROR(VLOOKUP($A45,ITEM_MASTER!$A:$N,12,0),"?")</f>
        <v>0</v>
      </c>
    </row>
    <row r="46" ht="15.75" customHeight="1">
      <c r="A46" s="157" t="s">
        <v>270</v>
      </c>
      <c r="B46" s="159" t="str">
        <f t="shared" si="1"/>
        <v>part</v>
      </c>
      <c r="C46" s="159" t="s">
        <v>650</v>
      </c>
      <c r="D46" s="80" t="s">
        <v>656</v>
      </c>
      <c r="E46" s="160" t="str">
        <f>IFERROR(VLOOKUP(A46,ITEM_MASTER!$A:$E,4,0),"?")</f>
        <v>Rear Bumper Sport</v>
      </c>
      <c r="F46" s="160" t="str">
        <f>IFERROR(VLOOKUP(A46,ITEM_MASTER!$A:$E,5,0),"?")</f>
        <v>Cản Sau Thể Thao</v>
      </c>
      <c r="G46" s="158" t="str">
        <f>IFERROR(VLOOKUP($A46,ITEM_MASTER!$A:$I,7,0),"?")</f>
        <v>UnCommon</v>
      </c>
      <c r="H46" s="158" t="str">
        <f>IFERROR(VLOOKUP($A46,ITEM_MASTER!$A:$I,8,0),"?")</f>
        <v>unreleased</v>
      </c>
      <c r="I46" s="158" t="str">
        <f>IFERROR(VLOOKUP($A46,ITEM_MASTER!$A:$I,9,0),"?")</f>
        <v>Post-Race Rewards</v>
      </c>
      <c r="J46" s="158" t="str">
        <f>IFERROR(VLOOKUP($A46,ITEM_MASTER!$A:$J,10,0),"?")</f>
        <v>/Content/Vehicles/MercedesBenz_AMG_GT_R/Meshs/RearBumper/SM_AMG_RearBumper_Sport.uasset</v>
      </c>
      <c r="K46" s="158" t="str">
        <f>IFERROR(VLOOKUP($A46,ITEM_MASTER!$A:$K,11,0),"?")</f>
        <v/>
      </c>
      <c r="L46" s="158" t="b">
        <f>IFERROR(VLOOKUP($A46,ITEM_MASTER!$A:$N,12,0),"?")</f>
        <v>0</v>
      </c>
    </row>
    <row r="47" ht="15.75" customHeight="1">
      <c r="A47" s="157" t="s">
        <v>272</v>
      </c>
      <c r="B47" s="159" t="str">
        <f t="shared" si="1"/>
        <v>part</v>
      </c>
      <c r="C47" s="80" t="s">
        <v>651</v>
      </c>
      <c r="D47" s="80" t="s">
        <v>656</v>
      </c>
      <c r="E47" s="160" t="str">
        <f>IFERROR(VLOOKUP(A47,ITEM_MASTER!$A:$E,4,0),"?")</f>
        <v>Spoiler Sport</v>
      </c>
      <c r="F47" s="160" t="str">
        <f>IFERROR(VLOOKUP(A47,ITEM_MASTER!$A:$E,5,0),"?")</f>
        <v>Cánh Gió Thể Thao</v>
      </c>
      <c r="G47" s="158" t="str">
        <f>IFERROR(VLOOKUP($A47,ITEM_MASTER!$A:$I,7,0),"?")</f>
        <v>UnCommon</v>
      </c>
      <c r="H47" s="158" t="str">
        <f>IFERROR(VLOOKUP($A47,ITEM_MASTER!$A:$I,8,0),"?")</f>
        <v>unreleased</v>
      </c>
      <c r="I47" s="158" t="str">
        <f>IFERROR(VLOOKUP($A47,ITEM_MASTER!$A:$I,9,0),"?")</f>
        <v>Post-Race Rewards</v>
      </c>
      <c r="J47" s="158" t="str">
        <f>IFERROR(VLOOKUP($A47,ITEM_MASTER!$A:$J,10,0),"?")</f>
        <v>/Content/Vehicles/MercedesBenz_AMG_GT_R/Meshs/Spoiler/SM_AMG_Spoiler_Sport.uasset</v>
      </c>
      <c r="K47" s="158" t="str">
        <f>IFERROR(VLOOKUP($A47,ITEM_MASTER!$A:$K,11,0),"?")</f>
        <v/>
      </c>
      <c r="L47" s="158" t="b">
        <f>IFERROR(VLOOKUP($A47,ITEM_MASTER!$A:$N,12,0),"?")</f>
        <v>0</v>
      </c>
    </row>
    <row r="48" ht="15.75" customHeight="1">
      <c r="A48" s="157" t="s">
        <v>274</v>
      </c>
      <c r="B48" s="159" t="str">
        <f t="shared" si="1"/>
        <v>part</v>
      </c>
      <c r="C48" s="159" t="s">
        <v>652</v>
      </c>
      <c r="D48" s="80" t="s">
        <v>656</v>
      </c>
      <c r="E48" s="160" t="str">
        <f>IFERROR(VLOOKUP(A48,ITEM_MASTER!$A:$E,4,0),"?")</f>
        <v>Roof Panel Sport</v>
      </c>
      <c r="F48" s="160" t="str">
        <f>IFERROR(VLOOKUP(A48,ITEM_MASTER!$A:$E,5,0),"?")</f>
        <v>Nóc Xe Thể Thao</v>
      </c>
      <c r="G48" s="158" t="str">
        <f>IFERROR(VLOOKUP($A48,ITEM_MASTER!$A:$I,7,0),"?")</f>
        <v>UnCommon</v>
      </c>
      <c r="H48" s="158" t="str">
        <f>IFERROR(VLOOKUP($A48,ITEM_MASTER!$A:$I,8,0),"?")</f>
        <v>unreleased</v>
      </c>
      <c r="I48" s="158" t="str">
        <f>IFERROR(VLOOKUP($A48,ITEM_MASTER!$A:$I,9,0),"?")</f>
        <v>Post-Race Rewards</v>
      </c>
      <c r="J48" s="158" t="str">
        <f>IFERROR(VLOOKUP($A48,ITEM_MASTER!$A:$J,10,0),"?")</f>
        <v>/Content/Vehicles/MercedesBenz_AMG_GT_R/Meshs/Roof/SM_AMG_Roof_Sport.uasset</v>
      </c>
      <c r="K48" s="158" t="str">
        <f>IFERROR(VLOOKUP($A48,ITEM_MASTER!$A:$K,11,0),"?")</f>
        <v/>
      </c>
      <c r="L48" s="158" t="b">
        <f>IFERROR(VLOOKUP($A48,ITEM_MASTER!$A:$N,12,0),"?")</f>
        <v>0</v>
      </c>
    </row>
    <row r="49" ht="15.75" customHeight="1">
      <c r="A49" s="157" t="s">
        <v>276</v>
      </c>
      <c r="B49" s="159" t="str">
        <f t="shared" si="1"/>
        <v>part</v>
      </c>
      <c r="C49" s="80" t="s">
        <v>653</v>
      </c>
      <c r="D49" s="80" t="s">
        <v>656</v>
      </c>
      <c r="E49" s="160" t="str">
        <f>IFERROR(VLOOKUP(A49,ITEM_MASTER!$A:$E,4,0),"?")</f>
        <v>Wheel Sport</v>
      </c>
      <c r="F49" s="160" t="str">
        <f>IFERROR(VLOOKUP(A49,ITEM_MASTER!$A:$E,5,0),"?")</f>
        <v>Mâm Thể Thao</v>
      </c>
      <c r="G49" s="158" t="str">
        <f>IFERROR(VLOOKUP($A49,ITEM_MASTER!$A:$I,7,0),"?")</f>
        <v>UnCommon</v>
      </c>
      <c r="H49" s="158" t="str">
        <f>IFERROR(VLOOKUP($A49,ITEM_MASTER!$A:$I,8,0),"?")</f>
        <v>unreleased</v>
      </c>
      <c r="I49" s="158" t="str">
        <f>IFERROR(VLOOKUP($A49,ITEM_MASTER!$A:$I,9,0),"?")</f>
        <v>Post-Race Rewards</v>
      </c>
      <c r="J49" s="158" t="str">
        <f>IFERROR(VLOOKUP($A49,ITEM_MASTER!$A:$J,10,0),"?")</f>
        <v>/Content/Vehicles/MercedesBenz_AMG_GT_R/Meshs/Wheel/SM_AMG_Wheels_Sport.uasset</v>
      </c>
      <c r="K49" s="158" t="str">
        <f>IFERROR(VLOOKUP($A49,ITEM_MASTER!$A:$K,11,0),"?")</f>
        <v/>
      </c>
      <c r="L49" s="158" t="b">
        <f>IFERROR(VLOOKUP($A49,ITEM_MASTER!$A:$N,12,0),"?")</f>
        <v>0</v>
      </c>
    </row>
    <row r="50" ht="15.75" customHeight="1">
      <c r="A50" s="157" t="s">
        <v>278</v>
      </c>
      <c r="B50" s="159" t="str">
        <f t="shared" si="1"/>
        <v>part</v>
      </c>
      <c r="C50" s="159" t="s">
        <v>654</v>
      </c>
      <c r="D50" s="80" t="s">
        <v>656</v>
      </c>
      <c r="E50" s="160" t="str">
        <f>IFERROR(VLOOKUP(A50,ITEM_MASTER!$A:$E,4,0),"?")</f>
        <v>Side Skirt Sport</v>
      </c>
      <c r="F50" s="160" t="str">
        <f>IFERROR(VLOOKUP(A50,ITEM_MASTER!$A:$E,5,0),"?")</f>
        <v>Ốp Sườn Thể Thao</v>
      </c>
      <c r="G50" s="158" t="str">
        <f>IFERROR(VLOOKUP($A50,ITEM_MASTER!$A:$I,7,0),"?")</f>
        <v>UnCommon</v>
      </c>
      <c r="H50" s="158" t="str">
        <f>IFERROR(VLOOKUP($A50,ITEM_MASTER!$A:$I,8,0),"?")</f>
        <v>unreleased</v>
      </c>
      <c r="I50" s="158" t="str">
        <f>IFERROR(VLOOKUP($A50,ITEM_MASTER!$A:$I,9,0),"?")</f>
        <v>Post-Race Rewards</v>
      </c>
      <c r="J50" s="158" t="str">
        <f>IFERROR(VLOOKUP($A50,ITEM_MASTER!$A:$J,10,0),"?")</f>
        <v>/Content/Vehicles/MercedesBenz_AMG_GT_R/Meshs/SideSkirt/SM_AMG_SideBoard_Sport.uasset</v>
      </c>
      <c r="K50" s="158" t="str">
        <f>IFERROR(VLOOKUP($A50,ITEM_MASTER!$A:$K,11,0),"?")</f>
        <v/>
      </c>
      <c r="L50" s="158" t="b">
        <f>IFERROR(VLOOKUP($A50,ITEM_MASTER!$A:$N,12,0),"?")</f>
        <v>0</v>
      </c>
    </row>
    <row r="51" ht="15.75" customHeight="1">
      <c r="A51" s="157" t="s">
        <v>280</v>
      </c>
      <c r="B51" s="159" t="str">
        <f t="shared" si="1"/>
        <v>part</v>
      </c>
      <c r="C51" s="80" t="s">
        <v>648</v>
      </c>
      <c r="D51" s="80" t="s">
        <v>656</v>
      </c>
      <c r="E51" s="160" t="str">
        <f>IFERROR(VLOOKUP(A51,ITEM_MASTER!$A:$E,4,0),"?")</f>
        <v>Front Bumper Luxury</v>
      </c>
      <c r="F51" s="160" t="str">
        <f>IFERROR(VLOOKUP(A51,ITEM_MASTER!$A:$E,5,0),"?")</f>
        <v>Cản Trước Cao Cấp</v>
      </c>
      <c r="G51" s="158" t="str">
        <f>IFERROR(VLOOKUP($A51,ITEM_MASTER!$A:$I,7,0),"?")</f>
        <v>Rare</v>
      </c>
      <c r="H51" s="158" t="str">
        <f>IFERROR(VLOOKUP($A51,ITEM_MASTER!$A:$I,8,0),"?")</f>
        <v>unreleased</v>
      </c>
      <c r="I51" s="158" t="str">
        <f>IFERROR(VLOOKUP($A51,ITEM_MASTER!$A:$I,9,0),"?")</f>
        <v>Post-Race Rewards</v>
      </c>
      <c r="J51" s="158" t="str">
        <f>IFERROR(VLOOKUP($A51,ITEM_MASTER!$A:$J,10,0),"?")</f>
        <v>/Content/Vehicles/MercedesBenz_AMG_GT_R/Meshs/FrontBumper/SM_AMG_FrontBumper_Luxury.uasset</v>
      </c>
      <c r="K51" s="158" t="str">
        <f>IFERROR(VLOOKUP($A51,ITEM_MASTER!$A:$K,11,0),"?")</f>
        <v/>
      </c>
      <c r="L51" s="158" t="b">
        <f>IFERROR(VLOOKUP($A51,ITEM_MASTER!$A:$N,12,0),"?")</f>
        <v>0</v>
      </c>
    </row>
    <row r="52" ht="15.75" customHeight="1">
      <c r="A52" s="157" t="s">
        <v>282</v>
      </c>
      <c r="B52" s="159" t="str">
        <f t="shared" si="1"/>
        <v>part</v>
      </c>
      <c r="C52" s="159" t="s">
        <v>650</v>
      </c>
      <c r="D52" s="80" t="s">
        <v>656</v>
      </c>
      <c r="E52" s="160" t="str">
        <f>IFERROR(VLOOKUP(A52,ITEM_MASTER!$A:$E,4,0),"?")</f>
        <v>Rear Bumper Luxury</v>
      </c>
      <c r="F52" s="160" t="str">
        <f>IFERROR(VLOOKUP(A52,ITEM_MASTER!$A:$E,5,0),"?")</f>
        <v>Cản Sau Cao Cấp</v>
      </c>
      <c r="G52" s="158" t="str">
        <f>IFERROR(VLOOKUP($A52,ITEM_MASTER!$A:$I,7,0),"?")</f>
        <v>Rare</v>
      </c>
      <c r="H52" s="158" t="str">
        <f>IFERROR(VLOOKUP($A52,ITEM_MASTER!$A:$I,8,0),"?")</f>
        <v>unreleased</v>
      </c>
      <c r="I52" s="158" t="str">
        <f>IFERROR(VLOOKUP($A52,ITEM_MASTER!$A:$I,9,0),"?")</f>
        <v>Post-Race Rewards</v>
      </c>
      <c r="J52" s="158" t="str">
        <f>IFERROR(VLOOKUP($A52,ITEM_MASTER!$A:$J,10,0),"?")</f>
        <v>/Content/Vehicles/MercedesBenz_AMG_GT_R/Meshs/RearBumper/SM_AMG_RearBumper_Luxury.uasset</v>
      </c>
      <c r="K52" s="158" t="str">
        <f>IFERROR(VLOOKUP($A52,ITEM_MASTER!$A:$K,11,0),"?")</f>
        <v/>
      </c>
      <c r="L52" s="158" t="b">
        <f>IFERROR(VLOOKUP($A52,ITEM_MASTER!$A:$N,12,0),"?")</f>
        <v>0</v>
      </c>
    </row>
    <row r="53" ht="15.75" customHeight="1">
      <c r="A53" s="157" t="s">
        <v>284</v>
      </c>
      <c r="B53" s="159" t="str">
        <f t="shared" si="1"/>
        <v>part</v>
      </c>
      <c r="C53" s="80" t="s">
        <v>651</v>
      </c>
      <c r="D53" s="80" t="s">
        <v>656</v>
      </c>
      <c r="E53" s="160" t="str">
        <f>IFERROR(VLOOKUP(A53,ITEM_MASTER!$A:$E,4,0),"?")</f>
        <v>Spoiler Luxury</v>
      </c>
      <c r="F53" s="160" t="str">
        <f>IFERROR(VLOOKUP(A53,ITEM_MASTER!$A:$E,5,0),"?")</f>
        <v>Cánh Gió Cao Cấp</v>
      </c>
      <c r="G53" s="158" t="str">
        <f>IFERROR(VLOOKUP($A53,ITEM_MASTER!$A:$I,7,0),"?")</f>
        <v>Rare</v>
      </c>
      <c r="H53" s="158" t="str">
        <f>IFERROR(VLOOKUP($A53,ITEM_MASTER!$A:$I,8,0),"?")</f>
        <v>unreleased</v>
      </c>
      <c r="I53" s="158" t="str">
        <f>IFERROR(VLOOKUP($A53,ITEM_MASTER!$A:$I,9,0),"?")</f>
        <v>Post-Race Rewards</v>
      </c>
      <c r="J53" s="158" t="str">
        <f>IFERROR(VLOOKUP($A53,ITEM_MASTER!$A:$J,10,0),"?")</f>
        <v>/Content/Vehicles/MercedesBenz_AMG_GT_R/Meshs/Spoiler/SM_AMG_Spoiler_Luxury.uasset</v>
      </c>
      <c r="K53" s="158" t="str">
        <f>IFERROR(VLOOKUP($A53,ITEM_MASTER!$A:$K,11,0),"?")</f>
        <v/>
      </c>
      <c r="L53" s="158" t="b">
        <f>IFERROR(VLOOKUP($A53,ITEM_MASTER!$A:$N,12,0),"?")</f>
        <v>0</v>
      </c>
    </row>
    <row r="54" ht="15.75" customHeight="1">
      <c r="A54" s="157" t="s">
        <v>286</v>
      </c>
      <c r="B54" s="159" t="str">
        <f t="shared" si="1"/>
        <v>part</v>
      </c>
      <c r="C54" s="159" t="s">
        <v>652</v>
      </c>
      <c r="D54" s="80" t="s">
        <v>656</v>
      </c>
      <c r="E54" s="160" t="str">
        <f>IFERROR(VLOOKUP(A54,ITEM_MASTER!$A:$E,4,0),"?")</f>
        <v>Roof Panel Luxury</v>
      </c>
      <c r="F54" s="160" t="str">
        <f>IFERROR(VLOOKUP(A54,ITEM_MASTER!$A:$E,5,0),"?")</f>
        <v>Nóc Xe Cao Cấp</v>
      </c>
      <c r="G54" s="158" t="str">
        <f>IFERROR(VLOOKUP($A54,ITEM_MASTER!$A:$I,7,0),"?")</f>
        <v>Rare</v>
      </c>
      <c r="H54" s="158" t="str">
        <f>IFERROR(VLOOKUP($A54,ITEM_MASTER!$A:$I,8,0),"?")</f>
        <v>unreleased</v>
      </c>
      <c r="I54" s="158" t="str">
        <f>IFERROR(VLOOKUP($A54,ITEM_MASTER!$A:$I,9,0),"?")</f>
        <v>Post-Race Rewards</v>
      </c>
      <c r="J54" s="158" t="str">
        <f>IFERROR(VLOOKUP($A54,ITEM_MASTER!$A:$J,10,0),"?")</f>
        <v>/Content/Vehicles/MercedesBenz_AMG_GT_R/Meshs/Roof/SM_AMG_Roof_Luxury.uasset</v>
      </c>
      <c r="K54" s="158" t="str">
        <f>IFERROR(VLOOKUP($A54,ITEM_MASTER!$A:$K,11,0),"?")</f>
        <v/>
      </c>
      <c r="L54" s="158" t="b">
        <f>IFERROR(VLOOKUP($A54,ITEM_MASTER!$A:$N,12,0),"?")</f>
        <v>0</v>
      </c>
    </row>
    <row r="55" ht="15.75" customHeight="1">
      <c r="A55" s="157" t="s">
        <v>288</v>
      </c>
      <c r="B55" s="159" t="str">
        <f t="shared" si="1"/>
        <v>part</v>
      </c>
      <c r="C55" s="80" t="s">
        <v>653</v>
      </c>
      <c r="D55" s="80" t="s">
        <v>656</v>
      </c>
      <c r="E55" s="160" t="str">
        <f>IFERROR(VLOOKUP(A55,ITEM_MASTER!$A:$E,4,0),"?")</f>
        <v>Wheel Luxury</v>
      </c>
      <c r="F55" s="160" t="str">
        <f>IFERROR(VLOOKUP(A55,ITEM_MASTER!$A:$E,5,0),"?")</f>
        <v>Mâm Cao Cấp</v>
      </c>
      <c r="G55" s="158" t="str">
        <f>IFERROR(VLOOKUP($A55,ITEM_MASTER!$A:$I,7,0),"?")</f>
        <v>Rare</v>
      </c>
      <c r="H55" s="158" t="str">
        <f>IFERROR(VLOOKUP($A55,ITEM_MASTER!$A:$I,8,0),"?")</f>
        <v>unreleased</v>
      </c>
      <c r="I55" s="158" t="str">
        <f>IFERROR(VLOOKUP($A55,ITEM_MASTER!$A:$I,9,0),"?")</f>
        <v>Post-Race Rewards</v>
      </c>
      <c r="J55" s="158" t="str">
        <f>IFERROR(VLOOKUP($A55,ITEM_MASTER!$A:$J,10,0),"?")</f>
        <v>/Content/Vehicles/MercedesBenz_AMG_GT_R/Meshs/Wheel/SM_AMG_Wheels_Luxury.uasset</v>
      </c>
      <c r="K55" s="158" t="str">
        <f>IFERROR(VLOOKUP($A55,ITEM_MASTER!$A:$K,11,0),"?")</f>
        <v/>
      </c>
      <c r="L55" s="158" t="b">
        <f>IFERROR(VLOOKUP($A55,ITEM_MASTER!$A:$N,12,0),"?")</f>
        <v>0</v>
      </c>
    </row>
    <row r="56" ht="15.75" customHeight="1">
      <c r="A56" s="157" t="s">
        <v>290</v>
      </c>
      <c r="B56" s="159" t="str">
        <f t="shared" si="1"/>
        <v>part</v>
      </c>
      <c r="C56" s="159" t="s">
        <v>654</v>
      </c>
      <c r="D56" s="80" t="s">
        <v>656</v>
      </c>
      <c r="E56" s="160" t="str">
        <f>IFERROR(VLOOKUP(A56,ITEM_MASTER!$A:$E,4,0),"?")</f>
        <v>Side Skirt Luxury</v>
      </c>
      <c r="F56" s="160" t="str">
        <f>IFERROR(VLOOKUP(A56,ITEM_MASTER!$A:$E,5,0),"?")</f>
        <v>Ốp Sườn Cao Cấp</v>
      </c>
      <c r="G56" s="158" t="str">
        <f>IFERROR(VLOOKUP($A56,ITEM_MASTER!$A:$I,7,0),"?")</f>
        <v>Rare</v>
      </c>
      <c r="H56" s="158" t="str">
        <f>IFERROR(VLOOKUP($A56,ITEM_MASTER!$A:$I,8,0),"?")</f>
        <v>unreleased</v>
      </c>
      <c r="I56" s="158" t="str">
        <f>IFERROR(VLOOKUP($A56,ITEM_MASTER!$A:$I,9,0),"?")</f>
        <v>Post-Race Rewards</v>
      </c>
      <c r="J56" s="158" t="str">
        <f>IFERROR(VLOOKUP($A56,ITEM_MASTER!$A:$J,10,0),"?")</f>
        <v>/Content/Vehicles/MercedesBenz_AMG_GT_R/Meshs/SideSkirt/SM_AMG_SideBoard_Luxury.uasset</v>
      </c>
      <c r="K56" s="158" t="str">
        <f>IFERROR(VLOOKUP($A56,ITEM_MASTER!$A:$K,11,0),"?")</f>
        <v/>
      </c>
      <c r="L56" s="158" t="b">
        <f>IFERROR(VLOOKUP($A56,ITEM_MASTER!$A:$N,12,0),"?")</f>
        <v>0</v>
      </c>
    </row>
    <row r="57" ht="15.75" customHeight="1">
      <c r="A57" s="157" t="s">
        <v>292</v>
      </c>
      <c r="B57" s="161" t="str">
        <f t="shared" si="1"/>
        <v>mat</v>
      </c>
      <c r="C57" s="162" t="s">
        <v>657</v>
      </c>
      <c r="D57" s="80" t="s">
        <v>649</v>
      </c>
      <c r="E57" s="160" t="str">
        <f>IFERROR(VLOOKUP(A57,ITEM_MASTER!$A:$E,4,0),"?")</f>
        <v>Metallic Paint #1</v>
      </c>
      <c r="F57" s="160" t="str">
        <f>IFERROR(VLOOKUP(A57,ITEM_MASTER!$A:$E,5,0),"?")</f>
        <v>Sơn Kim Loại #1</v>
      </c>
      <c r="G57" s="158" t="str">
        <f>IFERROR(VLOOKUP($A57,ITEM_MASTER!$A:$I,7,0),"?")</f>
        <v>Common</v>
      </c>
      <c r="H57" s="158" t="str">
        <f>IFERROR(VLOOKUP($A57,ITEM_MASTER!$A:$I,8,0),"?")</f>
        <v>unreleased</v>
      </c>
      <c r="I57" s="158" t="str">
        <f>IFERROR(VLOOKUP($A57,ITEM_MASTER!$A:$I,9,0),"?")</f>
        <v>Post-Race Rewards</v>
      </c>
      <c r="J57" s="158" t="str">
        <f>IFERROR(VLOOKUP($A57,ITEM_MASTER!$A:$J,10,0),"?")</f>
        <v/>
      </c>
      <c r="K57" s="158" t="str">
        <f>IFERROR(VLOOKUP($A57,ITEM_MASTER!$A:$K,11,0),"?")</f>
        <v/>
      </c>
      <c r="L57" s="158" t="b">
        <f>IFERROR(VLOOKUP($A57,ITEM_MASTER!$A:$N,12,0),"?")</f>
        <v>0</v>
      </c>
    </row>
    <row r="58" ht="15.75" customHeight="1">
      <c r="A58" s="157" t="s">
        <v>296</v>
      </c>
      <c r="B58" s="161" t="str">
        <f t="shared" si="1"/>
        <v>mat</v>
      </c>
      <c r="C58" s="162" t="s">
        <v>657</v>
      </c>
      <c r="D58" s="80" t="s">
        <v>649</v>
      </c>
      <c r="E58" s="160" t="str">
        <f>IFERROR(VLOOKUP(A58,ITEM_MASTER!$A:$E,4,0),"?")</f>
        <v>Metallic Paint #2</v>
      </c>
      <c r="F58" s="160" t="str">
        <f>IFERROR(VLOOKUP(A58,ITEM_MASTER!$A:$E,5,0),"?")</f>
        <v>Sơn Kim Loại #2</v>
      </c>
      <c r="G58" s="158" t="str">
        <f>IFERROR(VLOOKUP($A58,ITEM_MASTER!$A:$I,7,0),"?")</f>
        <v>Common</v>
      </c>
      <c r="H58" s="158" t="str">
        <f>IFERROR(VLOOKUP($A58,ITEM_MASTER!$A:$I,8,0),"?")</f>
        <v>unreleased</v>
      </c>
      <c r="I58" s="158" t="str">
        <f>IFERROR(VLOOKUP($A58,ITEM_MASTER!$A:$I,9,0),"?")</f>
        <v>Post-Race Rewards</v>
      </c>
      <c r="J58" s="158" t="str">
        <f>IFERROR(VLOOKUP($A58,ITEM_MASTER!$A:$J,10,0),"?")</f>
        <v/>
      </c>
      <c r="K58" s="158" t="str">
        <f>IFERROR(VLOOKUP($A58,ITEM_MASTER!$A:$K,11,0),"?")</f>
        <v/>
      </c>
      <c r="L58" s="158" t="b">
        <f>IFERROR(VLOOKUP($A58,ITEM_MASTER!$A:$N,12,0),"?")</f>
        <v>0</v>
      </c>
    </row>
    <row r="59" ht="15.75" customHeight="1">
      <c r="A59" s="157" t="s">
        <v>299</v>
      </c>
      <c r="B59" s="161" t="str">
        <f t="shared" si="1"/>
        <v>mat</v>
      </c>
      <c r="C59" s="162" t="s">
        <v>657</v>
      </c>
      <c r="D59" s="80" t="s">
        <v>649</v>
      </c>
      <c r="E59" s="160" t="str">
        <f>IFERROR(VLOOKUP(A59,ITEM_MASTER!$A:$E,4,0),"?")</f>
        <v>Metallic Paint #3</v>
      </c>
      <c r="F59" s="160" t="str">
        <f>IFERROR(VLOOKUP(A59,ITEM_MASTER!$A:$E,5,0),"?")</f>
        <v>Sơn Kim Loại #3</v>
      </c>
      <c r="G59" s="158" t="str">
        <f>IFERROR(VLOOKUP($A59,ITEM_MASTER!$A:$I,7,0),"?")</f>
        <v>Common</v>
      </c>
      <c r="H59" s="158" t="str">
        <f>IFERROR(VLOOKUP($A59,ITEM_MASTER!$A:$I,8,0),"?")</f>
        <v>unreleased</v>
      </c>
      <c r="I59" s="158" t="str">
        <f>IFERROR(VLOOKUP($A59,ITEM_MASTER!$A:$I,9,0),"?")</f>
        <v>Post-Race Rewards</v>
      </c>
      <c r="J59" s="158" t="str">
        <f>IFERROR(VLOOKUP($A59,ITEM_MASTER!$A:$J,10,0),"?")</f>
        <v/>
      </c>
      <c r="K59" s="158" t="str">
        <f>IFERROR(VLOOKUP($A59,ITEM_MASTER!$A:$K,11,0),"?")</f>
        <v/>
      </c>
      <c r="L59" s="158" t="b">
        <f>IFERROR(VLOOKUP($A59,ITEM_MASTER!$A:$N,12,0),"?")</f>
        <v>0</v>
      </c>
    </row>
    <row r="60" ht="15.75" customHeight="1">
      <c r="A60" s="157" t="s">
        <v>302</v>
      </c>
      <c r="B60" s="161" t="str">
        <f t="shared" si="1"/>
        <v>mat</v>
      </c>
      <c r="C60" s="162" t="s">
        <v>657</v>
      </c>
      <c r="D60" s="80" t="s">
        <v>649</v>
      </c>
      <c r="E60" s="160" t="str">
        <f>IFERROR(VLOOKUP(A60,ITEM_MASTER!$A:$E,4,0),"?")</f>
        <v>Glossy Paint #1</v>
      </c>
      <c r="F60" s="160" t="str">
        <f>IFERROR(VLOOKUP(A60,ITEM_MASTER!$A:$E,5,0),"?")</f>
        <v>Sơn Bóng #1</v>
      </c>
      <c r="G60" s="158" t="str">
        <f>IFERROR(VLOOKUP($A60,ITEM_MASTER!$A:$I,7,0),"?")</f>
        <v>Common</v>
      </c>
      <c r="H60" s="158" t="str">
        <f>IFERROR(VLOOKUP($A60,ITEM_MASTER!$A:$I,8,0),"?")</f>
        <v>unreleased</v>
      </c>
      <c r="I60" s="158" t="str">
        <f>IFERROR(VLOOKUP($A60,ITEM_MASTER!$A:$I,9,0),"?")</f>
        <v>Post-Race Rewards</v>
      </c>
      <c r="J60" s="158" t="str">
        <f>IFERROR(VLOOKUP($A60,ITEM_MASTER!$A:$J,10,0),"?")</f>
        <v/>
      </c>
      <c r="K60" s="158" t="str">
        <f>IFERROR(VLOOKUP($A60,ITEM_MASTER!$A:$K,11,0),"?")</f>
        <v/>
      </c>
      <c r="L60" s="158" t="b">
        <f>IFERROR(VLOOKUP($A60,ITEM_MASTER!$A:$N,12,0),"?")</f>
        <v>0</v>
      </c>
    </row>
    <row r="61" ht="15.75" customHeight="1">
      <c r="A61" s="157" t="s">
        <v>305</v>
      </c>
      <c r="B61" s="161" t="str">
        <f t="shared" si="1"/>
        <v>mat</v>
      </c>
      <c r="C61" s="162" t="s">
        <v>657</v>
      </c>
      <c r="D61" s="80" t="s">
        <v>649</v>
      </c>
      <c r="E61" s="160" t="str">
        <f>IFERROR(VLOOKUP(A61,ITEM_MASTER!$A:$E,4,0),"?")</f>
        <v>Glossy Paint #2</v>
      </c>
      <c r="F61" s="160" t="str">
        <f>IFERROR(VLOOKUP(A61,ITEM_MASTER!$A:$E,5,0),"?")</f>
        <v>Sơn Bóng #2</v>
      </c>
      <c r="G61" s="158" t="str">
        <f>IFERROR(VLOOKUP($A61,ITEM_MASTER!$A:$I,7,0),"?")</f>
        <v>Common</v>
      </c>
      <c r="H61" s="158" t="str">
        <f>IFERROR(VLOOKUP($A61,ITEM_MASTER!$A:$I,8,0),"?")</f>
        <v>unreleased</v>
      </c>
      <c r="I61" s="158" t="str">
        <f>IFERROR(VLOOKUP($A61,ITEM_MASTER!$A:$I,9,0),"?")</f>
        <v>Post-Race Rewards</v>
      </c>
      <c r="J61" s="158" t="str">
        <f>IFERROR(VLOOKUP($A61,ITEM_MASTER!$A:$J,10,0),"?")</f>
        <v/>
      </c>
      <c r="K61" s="158" t="str">
        <f>IFERROR(VLOOKUP($A61,ITEM_MASTER!$A:$K,11,0),"?")</f>
        <v/>
      </c>
      <c r="L61" s="158" t="b">
        <f>IFERROR(VLOOKUP($A61,ITEM_MASTER!$A:$N,12,0),"?")</f>
        <v>0</v>
      </c>
    </row>
    <row r="62" ht="15.75" customHeight="1">
      <c r="A62" s="157" t="s">
        <v>308</v>
      </c>
      <c r="B62" s="161" t="str">
        <f t="shared" si="1"/>
        <v>mat</v>
      </c>
      <c r="C62" s="162" t="s">
        <v>657</v>
      </c>
      <c r="D62" s="80" t="s">
        <v>649</v>
      </c>
      <c r="E62" s="160" t="str">
        <f>IFERROR(VLOOKUP(A62,ITEM_MASTER!$A:$E,4,0),"?")</f>
        <v>Glossy Paint #3</v>
      </c>
      <c r="F62" s="160" t="str">
        <f>IFERROR(VLOOKUP(A62,ITEM_MASTER!$A:$E,5,0),"?")</f>
        <v>Sơn Bóng #3</v>
      </c>
      <c r="G62" s="158" t="str">
        <f>IFERROR(VLOOKUP($A62,ITEM_MASTER!$A:$I,7,0),"?")</f>
        <v>Common</v>
      </c>
      <c r="H62" s="158" t="str">
        <f>IFERROR(VLOOKUP($A62,ITEM_MASTER!$A:$I,8,0),"?")</f>
        <v>unreleased</v>
      </c>
      <c r="I62" s="158" t="str">
        <f>IFERROR(VLOOKUP($A62,ITEM_MASTER!$A:$I,9,0),"?")</f>
        <v>Post-Race Rewards</v>
      </c>
      <c r="J62" s="158" t="str">
        <f>IFERROR(VLOOKUP($A62,ITEM_MASTER!$A:$J,10,0),"?")</f>
        <v/>
      </c>
      <c r="K62" s="158" t="str">
        <f>IFERROR(VLOOKUP($A62,ITEM_MASTER!$A:$K,11,0),"?")</f>
        <v/>
      </c>
      <c r="L62" s="158" t="b">
        <f>IFERROR(VLOOKUP($A62,ITEM_MASTER!$A:$N,12,0),"?")</f>
        <v>0</v>
      </c>
    </row>
    <row r="63" ht="15.75" customHeight="1">
      <c r="A63" s="157" t="s">
        <v>311</v>
      </c>
      <c r="B63" s="161" t="str">
        <f t="shared" si="1"/>
        <v>mat</v>
      </c>
      <c r="C63" s="162" t="s">
        <v>657</v>
      </c>
      <c r="D63" s="80" t="s">
        <v>649</v>
      </c>
      <c r="E63" s="160" t="str">
        <f>IFERROR(VLOOKUP(A63,ITEM_MASTER!$A:$E,4,0),"?")</f>
        <v>Matte Paint #1</v>
      </c>
      <c r="F63" s="160" t="str">
        <f>IFERROR(VLOOKUP(A63,ITEM_MASTER!$A:$E,5,0),"?")</f>
        <v>Sơn Nhẵn #1</v>
      </c>
      <c r="G63" s="158" t="str">
        <f>IFERROR(VLOOKUP($A63,ITEM_MASTER!$A:$I,7,0),"?")</f>
        <v>Common</v>
      </c>
      <c r="H63" s="158" t="str">
        <f>IFERROR(VLOOKUP($A63,ITEM_MASTER!$A:$I,8,0),"?")</f>
        <v>unreleased</v>
      </c>
      <c r="I63" s="158" t="str">
        <f>IFERROR(VLOOKUP($A63,ITEM_MASTER!$A:$I,9,0),"?")</f>
        <v>Post-Race Rewards</v>
      </c>
      <c r="J63" s="158" t="str">
        <f>IFERROR(VLOOKUP($A63,ITEM_MASTER!$A:$J,10,0),"?")</f>
        <v/>
      </c>
      <c r="K63" s="158" t="str">
        <f>IFERROR(VLOOKUP($A63,ITEM_MASTER!$A:$K,11,0),"?")</f>
        <v/>
      </c>
      <c r="L63" s="158" t="b">
        <f>IFERROR(VLOOKUP($A63,ITEM_MASTER!$A:$N,12,0),"?")</f>
        <v>0</v>
      </c>
    </row>
    <row r="64" ht="15.75" customHeight="1">
      <c r="A64" s="157" t="s">
        <v>314</v>
      </c>
      <c r="B64" s="161" t="str">
        <f t="shared" si="1"/>
        <v>mat</v>
      </c>
      <c r="C64" s="162" t="s">
        <v>657</v>
      </c>
      <c r="D64" s="80" t="s">
        <v>649</v>
      </c>
      <c r="E64" s="160" t="str">
        <f>IFERROR(VLOOKUP(A64,ITEM_MASTER!$A:$E,4,0),"?")</f>
        <v>Matte Paint #2</v>
      </c>
      <c r="F64" s="160" t="str">
        <f>IFERROR(VLOOKUP(A64,ITEM_MASTER!$A:$E,5,0),"?")</f>
        <v>Sơn Nhẵn #2</v>
      </c>
      <c r="G64" s="158" t="str">
        <f>IFERROR(VLOOKUP($A64,ITEM_MASTER!$A:$I,7,0),"?")</f>
        <v>Common</v>
      </c>
      <c r="H64" s="158" t="str">
        <f>IFERROR(VLOOKUP($A64,ITEM_MASTER!$A:$I,8,0),"?")</f>
        <v>unreleased</v>
      </c>
      <c r="I64" s="158" t="str">
        <f>IFERROR(VLOOKUP($A64,ITEM_MASTER!$A:$I,9,0),"?")</f>
        <v>Post-Race Rewards</v>
      </c>
      <c r="J64" s="158" t="str">
        <f>IFERROR(VLOOKUP($A64,ITEM_MASTER!$A:$J,10,0),"?")</f>
        <v/>
      </c>
      <c r="K64" s="158" t="str">
        <f>IFERROR(VLOOKUP($A64,ITEM_MASTER!$A:$K,11,0),"?")</f>
        <v/>
      </c>
      <c r="L64" s="158" t="b">
        <f>IFERROR(VLOOKUP($A64,ITEM_MASTER!$A:$N,12,0),"?")</f>
        <v>0</v>
      </c>
    </row>
    <row r="65" ht="15.75" customHeight="1">
      <c r="A65" s="157" t="s">
        <v>317</v>
      </c>
      <c r="B65" s="161" t="str">
        <f t="shared" si="1"/>
        <v>mat</v>
      </c>
      <c r="C65" s="162" t="s">
        <v>657</v>
      </c>
      <c r="D65" s="80" t="s">
        <v>649</v>
      </c>
      <c r="E65" s="160" t="str">
        <f>IFERROR(VLOOKUP(A65,ITEM_MASTER!$A:$E,4,0),"?")</f>
        <v>Matte Paint #3</v>
      </c>
      <c r="F65" s="160" t="str">
        <f>IFERROR(VLOOKUP(A65,ITEM_MASTER!$A:$E,5,0),"?")</f>
        <v>Sơn Nhẵn #3</v>
      </c>
      <c r="G65" s="158" t="str">
        <f>IFERROR(VLOOKUP($A65,ITEM_MASTER!$A:$I,7,0),"?")</f>
        <v>Common</v>
      </c>
      <c r="H65" s="158" t="str">
        <f>IFERROR(VLOOKUP($A65,ITEM_MASTER!$A:$I,8,0),"?")</f>
        <v>unreleased</v>
      </c>
      <c r="I65" s="158" t="str">
        <f>IFERROR(VLOOKUP($A65,ITEM_MASTER!$A:$I,9,0),"?")</f>
        <v>Post-Race Rewards</v>
      </c>
      <c r="J65" s="158" t="str">
        <f>IFERROR(VLOOKUP($A65,ITEM_MASTER!$A:$J,10,0),"?")</f>
        <v/>
      </c>
      <c r="K65" s="158" t="str">
        <f>IFERROR(VLOOKUP($A65,ITEM_MASTER!$A:$K,11,0),"?")</f>
        <v/>
      </c>
      <c r="L65" s="158" t="b">
        <f>IFERROR(VLOOKUP($A65,ITEM_MASTER!$A:$N,12,0),"?")</f>
        <v>0</v>
      </c>
    </row>
    <row r="66" ht="15.75" customHeight="1">
      <c r="A66" s="157" t="s">
        <v>320</v>
      </c>
      <c r="B66" s="161" t="str">
        <f t="shared" si="1"/>
        <v>mat</v>
      </c>
      <c r="C66" s="162" t="s">
        <v>657</v>
      </c>
      <c r="D66" s="80" t="s">
        <v>649</v>
      </c>
      <c r="E66" s="160" t="str">
        <f>IFERROR(VLOOKUP(A66,ITEM_MASTER!$A:$E,4,0),"?")</f>
        <v>Pearlescent Paint #1</v>
      </c>
      <c r="F66" s="160" t="str">
        <f>IFERROR(VLOOKUP(A66,ITEM_MASTER!$A:$E,5,0),"?")</f>
        <v>Sơn Pearlescent #1</v>
      </c>
      <c r="G66" s="158" t="str">
        <f>IFERROR(VLOOKUP($A66,ITEM_MASTER!$A:$I,7,0),"?")</f>
        <v>Common</v>
      </c>
      <c r="H66" s="158" t="str">
        <f>IFERROR(VLOOKUP($A66,ITEM_MASTER!$A:$I,8,0),"?")</f>
        <v>unreleased</v>
      </c>
      <c r="I66" s="158" t="str">
        <f>IFERROR(VLOOKUP($A66,ITEM_MASTER!$A:$I,9,0),"?")</f>
        <v>Post-Race Rewards</v>
      </c>
      <c r="J66" s="158" t="str">
        <f>IFERROR(VLOOKUP($A66,ITEM_MASTER!$A:$J,10,0),"?")</f>
        <v/>
      </c>
      <c r="K66" s="158" t="str">
        <f>IFERROR(VLOOKUP($A66,ITEM_MASTER!$A:$K,11,0),"?")</f>
        <v/>
      </c>
      <c r="L66" s="158" t="b">
        <f>IFERROR(VLOOKUP($A66,ITEM_MASTER!$A:$N,12,0),"?")</f>
        <v>0</v>
      </c>
    </row>
    <row r="67" ht="15.75" customHeight="1">
      <c r="A67" s="157" t="s">
        <v>323</v>
      </c>
      <c r="B67" s="161" t="str">
        <f t="shared" si="1"/>
        <v>mat</v>
      </c>
      <c r="C67" s="162" t="s">
        <v>657</v>
      </c>
      <c r="D67" s="80" t="s">
        <v>649</v>
      </c>
      <c r="E67" s="160" t="str">
        <f>IFERROR(VLOOKUP(A67,ITEM_MASTER!$A:$E,4,0),"?")</f>
        <v>Pearlescent Paint #2</v>
      </c>
      <c r="F67" s="160" t="str">
        <f>IFERROR(VLOOKUP(A67,ITEM_MASTER!$A:$E,5,0),"?")</f>
        <v>Sơn Pearlescent #2</v>
      </c>
      <c r="G67" s="158" t="str">
        <f>IFERROR(VLOOKUP($A67,ITEM_MASTER!$A:$I,7,0),"?")</f>
        <v>Common</v>
      </c>
      <c r="H67" s="158" t="str">
        <f>IFERROR(VLOOKUP($A67,ITEM_MASTER!$A:$I,8,0),"?")</f>
        <v>unreleased</v>
      </c>
      <c r="I67" s="158" t="str">
        <f>IFERROR(VLOOKUP($A67,ITEM_MASTER!$A:$I,9,0),"?")</f>
        <v>Post-Race Rewards</v>
      </c>
      <c r="J67" s="158" t="str">
        <f>IFERROR(VLOOKUP($A67,ITEM_MASTER!$A:$J,10,0),"?")</f>
        <v/>
      </c>
      <c r="K67" s="158" t="str">
        <f>IFERROR(VLOOKUP($A67,ITEM_MASTER!$A:$K,11,0),"?")</f>
        <v/>
      </c>
      <c r="L67" s="158" t="b">
        <f>IFERROR(VLOOKUP($A67,ITEM_MASTER!$A:$N,12,0),"?")</f>
        <v>0</v>
      </c>
    </row>
    <row r="68" ht="15.75" customHeight="1">
      <c r="A68" s="157" t="s">
        <v>326</v>
      </c>
      <c r="B68" s="161" t="str">
        <f t="shared" si="1"/>
        <v>mat</v>
      </c>
      <c r="C68" s="162" t="s">
        <v>657</v>
      </c>
      <c r="D68" s="80" t="s">
        <v>649</v>
      </c>
      <c r="E68" s="160" t="str">
        <f>IFERROR(VLOOKUP(A68,ITEM_MASTER!$A:$E,4,0),"?")</f>
        <v>Pearlescent Paint #3</v>
      </c>
      <c r="F68" s="160" t="str">
        <f>IFERROR(VLOOKUP(A68,ITEM_MASTER!$A:$E,5,0),"?")</f>
        <v>Sơn Pearlescent #3</v>
      </c>
      <c r="G68" s="158" t="str">
        <f>IFERROR(VLOOKUP($A68,ITEM_MASTER!$A:$I,7,0),"?")</f>
        <v>Common</v>
      </c>
      <c r="H68" s="158" t="str">
        <f>IFERROR(VLOOKUP($A68,ITEM_MASTER!$A:$I,8,0),"?")</f>
        <v>unreleased</v>
      </c>
      <c r="I68" s="158" t="str">
        <f>IFERROR(VLOOKUP($A68,ITEM_MASTER!$A:$I,9,0),"?")</f>
        <v>Post-Race Rewards</v>
      </c>
      <c r="J68" s="158" t="str">
        <f>IFERROR(VLOOKUP($A68,ITEM_MASTER!$A:$J,10,0),"?")</f>
        <v/>
      </c>
      <c r="K68" s="158" t="str">
        <f>IFERROR(VLOOKUP($A68,ITEM_MASTER!$A:$K,11,0),"?")</f>
        <v/>
      </c>
      <c r="L68" s="158" t="b">
        <f>IFERROR(VLOOKUP($A68,ITEM_MASTER!$A:$N,12,0),"?")</f>
        <v>0</v>
      </c>
    </row>
    <row r="69" ht="15.75" customHeight="1">
      <c r="A69" s="157" t="s">
        <v>329</v>
      </c>
      <c r="B69" s="161" t="str">
        <f t="shared" si="1"/>
        <v>mat</v>
      </c>
      <c r="C69" s="162" t="s">
        <v>657</v>
      </c>
      <c r="D69" s="80" t="s">
        <v>649</v>
      </c>
      <c r="E69" s="160" t="str">
        <f>IFERROR(VLOOKUP(A69,ITEM_MASTER!$A:$E,4,0),"?")</f>
        <v>Chameleon Paint #1</v>
      </c>
      <c r="F69" s="160" t="str">
        <f>IFERROR(VLOOKUP(A69,ITEM_MASTER!$A:$E,5,0),"?")</f>
        <v>Sơn Chameleon #1</v>
      </c>
      <c r="G69" s="158" t="str">
        <f>IFERROR(VLOOKUP($A69,ITEM_MASTER!$A:$I,7,0),"?")</f>
        <v>UnCommon</v>
      </c>
      <c r="H69" s="158" t="str">
        <f>IFERROR(VLOOKUP($A69,ITEM_MASTER!$A:$I,8,0),"?")</f>
        <v>unreleased</v>
      </c>
      <c r="I69" s="158" t="str">
        <f>IFERROR(VLOOKUP($A69,ITEM_MASTER!$A:$I,9,0),"?")</f>
        <v>Post-Race Rewards</v>
      </c>
      <c r="J69" s="158" t="str">
        <f>IFERROR(VLOOKUP($A69,ITEM_MASTER!$A:$J,10,0),"?")</f>
        <v/>
      </c>
      <c r="K69" s="158" t="str">
        <f>IFERROR(VLOOKUP($A69,ITEM_MASTER!$A:$K,11,0),"?")</f>
        <v/>
      </c>
      <c r="L69" s="158" t="b">
        <f>IFERROR(VLOOKUP($A69,ITEM_MASTER!$A:$N,12,0),"?")</f>
        <v>0</v>
      </c>
    </row>
    <row r="70" ht="15.75" customHeight="1">
      <c r="A70" s="157" t="s">
        <v>332</v>
      </c>
      <c r="B70" s="161" t="str">
        <f t="shared" si="1"/>
        <v>mat</v>
      </c>
      <c r="C70" s="162" t="s">
        <v>657</v>
      </c>
      <c r="D70" s="80" t="s">
        <v>649</v>
      </c>
      <c r="E70" s="160" t="str">
        <f>IFERROR(VLOOKUP(A70,ITEM_MASTER!$A:$E,4,0),"?")</f>
        <v>Chameleon Paint #2</v>
      </c>
      <c r="F70" s="160" t="str">
        <f>IFERROR(VLOOKUP(A70,ITEM_MASTER!$A:$E,5,0),"?")</f>
        <v>Sơn Chameleon #2</v>
      </c>
      <c r="G70" s="158" t="str">
        <f>IFERROR(VLOOKUP($A70,ITEM_MASTER!$A:$I,7,0),"?")</f>
        <v>UnCommon</v>
      </c>
      <c r="H70" s="158" t="str">
        <f>IFERROR(VLOOKUP($A70,ITEM_MASTER!$A:$I,8,0),"?")</f>
        <v>unreleased</v>
      </c>
      <c r="I70" s="158" t="str">
        <f>IFERROR(VLOOKUP($A70,ITEM_MASTER!$A:$I,9,0),"?")</f>
        <v>Post-Race Rewards</v>
      </c>
      <c r="J70" s="158" t="str">
        <f>IFERROR(VLOOKUP($A70,ITEM_MASTER!$A:$J,10,0),"?")</f>
        <v/>
      </c>
      <c r="K70" s="158" t="str">
        <f>IFERROR(VLOOKUP($A70,ITEM_MASTER!$A:$K,11,0),"?")</f>
        <v/>
      </c>
      <c r="L70" s="158" t="b">
        <f>IFERROR(VLOOKUP($A70,ITEM_MASTER!$A:$N,12,0),"?")</f>
        <v>0</v>
      </c>
    </row>
    <row r="71" ht="15.75" customHeight="1">
      <c r="A71" s="157" t="s">
        <v>335</v>
      </c>
      <c r="B71" s="161" t="str">
        <f t="shared" si="1"/>
        <v>mat</v>
      </c>
      <c r="C71" s="162" t="s">
        <v>657</v>
      </c>
      <c r="D71" s="80" t="s">
        <v>649</v>
      </c>
      <c r="E71" s="160" t="str">
        <f>IFERROR(VLOOKUP(A71,ITEM_MASTER!$A:$E,4,0),"?")</f>
        <v>Chameleon Paint #3</v>
      </c>
      <c r="F71" s="160" t="str">
        <f>IFERROR(VLOOKUP(A71,ITEM_MASTER!$A:$E,5,0),"?")</f>
        <v>Sơn Chameleon #3</v>
      </c>
      <c r="G71" s="158" t="str">
        <f>IFERROR(VLOOKUP($A71,ITEM_MASTER!$A:$I,7,0),"?")</f>
        <v>UnCommon</v>
      </c>
      <c r="H71" s="158" t="str">
        <f>IFERROR(VLOOKUP($A71,ITEM_MASTER!$A:$I,8,0),"?")</f>
        <v>unreleased</v>
      </c>
      <c r="I71" s="158" t="str">
        <f>IFERROR(VLOOKUP($A71,ITEM_MASTER!$A:$I,9,0),"?")</f>
        <v>Post-Race Rewards</v>
      </c>
      <c r="J71" s="158" t="str">
        <f>IFERROR(VLOOKUP($A71,ITEM_MASTER!$A:$J,10,0),"?")</f>
        <v/>
      </c>
      <c r="K71" s="158" t="str">
        <f>IFERROR(VLOOKUP($A71,ITEM_MASTER!$A:$K,11,0),"?")</f>
        <v/>
      </c>
      <c r="L71" s="158" t="b">
        <f>IFERROR(VLOOKUP($A71,ITEM_MASTER!$A:$N,12,0),"?")</f>
        <v>0</v>
      </c>
    </row>
    <row r="72" ht="15.75" customHeight="1">
      <c r="A72" s="157" t="s">
        <v>338</v>
      </c>
      <c r="B72" s="161" t="str">
        <f t="shared" si="1"/>
        <v>mat</v>
      </c>
      <c r="C72" s="162" t="s">
        <v>657</v>
      </c>
      <c r="D72" s="80" t="s">
        <v>655</v>
      </c>
      <c r="E72" s="160" t="str">
        <f>IFERROR(VLOOKUP(A72,ITEM_MASTER!$A:$E,4,0),"?")</f>
        <v>Metallic Paint #1</v>
      </c>
      <c r="F72" s="160" t="str">
        <f>IFERROR(VLOOKUP(A72,ITEM_MASTER!$A:$E,5,0),"?")</f>
        <v>Sơn Kim Loại #1</v>
      </c>
      <c r="G72" s="158" t="str">
        <f>IFERROR(VLOOKUP($A72,ITEM_MASTER!$A:$I,7,0),"?")</f>
        <v>Common</v>
      </c>
      <c r="H72" s="158" t="str">
        <f>IFERROR(VLOOKUP($A72,ITEM_MASTER!$A:$I,8,0),"?")</f>
        <v>unreleased</v>
      </c>
      <c r="I72" s="158" t="str">
        <f>IFERROR(VLOOKUP($A72,ITEM_MASTER!$A:$I,9,0),"?")</f>
        <v>Post-Race Rewards</v>
      </c>
      <c r="J72" s="158" t="str">
        <f>IFERROR(VLOOKUP($A72,ITEM_MASTER!$A:$J,10,0),"?")</f>
        <v/>
      </c>
      <c r="K72" s="158" t="str">
        <f>IFERROR(VLOOKUP($A72,ITEM_MASTER!$A:$K,11,0),"?")</f>
        <v/>
      </c>
      <c r="L72" s="158" t="b">
        <f>IFERROR(VLOOKUP($A72,ITEM_MASTER!$A:$N,12,0),"?")</f>
        <v>0</v>
      </c>
    </row>
    <row r="73" ht="15.75" customHeight="1">
      <c r="A73" s="157" t="s">
        <v>339</v>
      </c>
      <c r="B73" s="161" t="str">
        <f t="shared" si="1"/>
        <v>mat</v>
      </c>
      <c r="C73" s="162" t="s">
        <v>657</v>
      </c>
      <c r="D73" s="80" t="s">
        <v>655</v>
      </c>
      <c r="E73" s="160" t="str">
        <f>IFERROR(VLOOKUP(A73,ITEM_MASTER!$A:$E,4,0),"?")</f>
        <v>Metallic Paint #2</v>
      </c>
      <c r="F73" s="160" t="str">
        <f>IFERROR(VLOOKUP(A73,ITEM_MASTER!$A:$E,5,0),"?")</f>
        <v>Sơn Kim Loại #2</v>
      </c>
      <c r="G73" s="158" t="str">
        <f>IFERROR(VLOOKUP($A73,ITEM_MASTER!$A:$I,7,0),"?")</f>
        <v>Common</v>
      </c>
      <c r="H73" s="158" t="str">
        <f>IFERROR(VLOOKUP($A73,ITEM_MASTER!$A:$I,8,0),"?")</f>
        <v>unreleased</v>
      </c>
      <c r="I73" s="158" t="str">
        <f>IFERROR(VLOOKUP($A73,ITEM_MASTER!$A:$I,9,0),"?")</f>
        <v>Post-Race Rewards</v>
      </c>
      <c r="J73" s="158" t="str">
        <f>IFERROR(VLOOKUP($A73,ITEM_MASTER!$A:$J,10,0),"?")</f>
        <v/>
      </c>
      <c r="K73" s="158" t="str">
        <f>IFERROR(VLOOKUP($A73,ITEM_MASTER!$A:$K,11,0),"?")</f>
        <v/>
      </c>
      <c r="L73" s="158" t="b">
        <f>IFERROR(VLOOKUP($A73,ITEM_MASTER!$A:$N,12,0),"?")</f>
        <v>0</v>
      </c>
    </row>
    <row r="74" ht="15.75" customHeight="1">
      <c r="A74" s="157" t="s">
        <v>340</v>
      </c>
      <c r="B74" s="161" t="str">
        <f t="shared" si="1"/>
        <v>mat</v>
      </c>
      <c r="C74" s="162" t="s">
        <v>657</v>
      </c>
      <c r="D74" s="80" t="s">
        <v>655</v>
      </c>
      <c r="E74" s="160" t="str">
        <f>IFERROR(VLOOKUP(A74,ITEM_MASTER!$A:$E,4,0),"?")</f>
        <v>Metallic Paint #3</v>
      </c>
      <c r="F74" s="160" t="str">
        <f>IFERROR(VLOOKUP(A74,ITEM_MASTER!$A:$E,5,0),"?")</f>
        <v>Sơn Kim Loại #3</v>
      </c>
      <c r="G74" s="158" t="str">
        <f>IFERROR(VLOOKUP($A74,ITEM_MASTER!$A:$I,7,0),"?")</f>
        <v>Common</v>
      </c>
      <c r="H74" s="158" t="str">
        <f>IFERROR(VLOOKUP($A74,ITEM_MASTER!$A:$I,8,0),"?")</f>
        <v>unreleased</v>
      </c>
      <c r="I74" s="158" t="str">
        <f>IFERROR(VLOOKUP($A74,ITEM_MASTER!$A:$I,9,0),"?")</f>
        <v>Post-Race Rewards</v>
      </c>
      <c r="J74" s="158" t="str">
        <f>IFERROR(VLOOKUP($A74,ITEM_MASTER!$A:$J,10,0),"?")</f>
        <v/>
      </c>
      <c r="K74" s="158" t="str">
        <f>IFERROR(VLOOKUP($A74,ITEM_MASTER!$A:$K,11,0),"?")</f>
        <v/>
      </c>
      <c r="L74" s="158" t="b">
        <f>IFERROR(VLOOKUP($A74,ITEM_MASTER!$A:$N,12,0),"?")</f>
        <v>0</v>
      </c>
    </row>
    <row r="75" ht="15.75" customHeight="1">
      <c r="A75" s="157" t="s">
        <v>341</v>
      </c>
      <c r="B75" s="161" t="str">
        <f t="shared" si="1"/>
        <v>mat</v>
      </c>
      <c r="C75" s="162" t="s">
        <v>657</v>
      </c>
      <c r="D75" s="80" t="s">
        <v>655</v>
      </c>
      <c r="E75" s="160" t="str">
        <f>IFERROR(VLOOKUP(A75,ITEM_MASTER!$A:$E,4,0),"?")</f>
        <v>Glossy Paint #1</v>
      </c>
      <c r="F75" s="160" t="str">
        <f>IFERROR(VLOOKUP(A75,ITEM_MASTER!$A:$E,5,0),"?")</f>
        <v>Sơn Bóng #1</v>
      </c>
      <c r="G75" s="158" t="str">
        <f>IFERROR(VLOOKUP($A75,ITEM_MASTER!$A:$I,7,0),"?")</f>
        <v>Common</v>
      </c>
      <c r="H75" s="158" t="str">
        <f>IFERROR(VLOOKUP($A75,ITEM_MASTER!$A:$I,8,0),"?")</f>
        <v>unreleased</v>
      </c>
      <c r="I75" s="158" t="str">
        <f>IFERROR(VLOOKUP($A75,ITEM_MASTER!$A:$I,9,0),"?")</f>
        <v>Post-Race Rewards</v>
      </c>
      <c r="J75" s="158" t="str">
        <f>IFERROR(VLOOKUP($A75,ITEM_MASTER!$A:$J,10,0),"?")</f>
        <v/>
      </c>
      <c r="K75" s="158" t="str">
        <f>IFERROR(VLOOKUP($A75,ITEM_MASTER!$A:$K,11,0),"?")</f>
        <v/>
      </c>
      <c r="L75" s="158" t="b">
        <f>IFERROR(VLOOKUP($A75,ITEM_MASTER!$A:$N,12,0),"?")</f>
        <v>0</v>
      </c>
    </row>
    <row r="76" ht="15.75" customHeight="1">
      <c r="A76" s="157" t="s">
        <v>342</v>
      </c>
      <c r="B76" s="161" t="str">
        <f t="shared" si="1"/>
        <v>mat</v>
      </c>
      <c r="C76" s="162" t="s">
        <v>657</v>
      </c>
      <c r="D76" s="80" t="s">
        <v>655</v>
      </c>
      <c r="E76" s="160" t="str">
        <f>IFERROR(VLOOKUP(A76,ITEM_MASTER!$A:$E,4,0),"?")</f>
        <v>Glossy Paint #2</v>
      </c>
      <c r="F76" s="160" t="str">
        <f>IFERROR(VLOOKUP(A76,ITEM_MASTER!$A:$E,5,0),"?")</f>
        <v>Sơn Bóng #2</v>
      </c>
      <c r="G76" s="158" t="str">
        <f>IFERROR(VLOOKUP($A76,ITEM_MASTER!$A:$I,7,0),"?")</f>
        <v>Common</v>
      </c>
      <c r="H76" s="158" t="str">
        <f>IFERROR(VLOOKUP($A76,ITEM_MASTER!$A:$I,8,0),"?")</f>
        <v>unreleased</v>
      </c>
      <c r="I76" s="158" t="str">
        <f>IFERROR(VLOOKUP($A76,ITEM_MASTER!$A:$I,9,0),"?")</f>
        <v>Post-Race Rewards</v>
      </c>
      <c r="J76" s="158" t="str">
        <f>IFERROR(VLOOKUP($A76,ITEM_MASTER!$A:$J,10,0),"?")</f>
        <v/>
      </c>
      <c r="K76" s="158" t="str">
        <f>IFERROR(VLOOKUP($A76,ITEM_MASTER!$A:$K,11,0),"?")</f>
        <v/>
      </c>
      <c r="L76" s="158" t="b">
        <f>IFERROR(VLOOKUP($A76,ITEM_MASTER!$A:$N,12,0),"?")</f>
        <v>0</v>
      </c>
    </row>
    <row r="77" ht="15.75" customHeight="1">
      <c r="A77" s="157" t="s">
        <v>343</v>
      </c>
      <c r="B77" s="161" t="str">
        <f t="shared" si="1"/>
        <v>mat</v>
      </c>
      <c r="C77" s="162" t="s">
        <v>657</v>
      </c>
      <c r="D77" s="80" t="s">
        <v>655</v>
      </c>
      <c r="E77" s="160" t="str">
        <f>IFERROR(VLOOKUP(A77,ITEM_MASTER!$A:$E,4,0),"?")</f>
        <v>Glossy Paint #3</v>
      </c>
      <c r="F77" s="160" t="str">
        <f>IFERROR(VLOOKUP(A77,ITEM_MASTER!$A:$E,5,0),"?")</f>
        <v>Sơn Bóng #3</v>
      </c>
      <c r="G77" s="158" t="str">
        <f>IFERROR(VLOOKUP($A77,ITEM_MASTER!$A:$I,7,0),"?")</f>
        <v>Common</v>
      </c>
      <c r="H77" s="158" t="str">
        <f>IFERROR(VLOOKUP($A77,ITEM_MASTER!$A:$I,8,0),"?")</f>
        <v>unreleased</v>
      </c>
      <c r="I77" s="158" t="str">
        <f>IFERROR(VLOOKUP($A77,ITEM_MASTER!$A:$I,9,0),"?")</f>
        <v>Post-Race Rewards</v>
      </c>
      <c r="J77" s="158" t="str">
        <f>IFERROR(VLOOKUP($A77,ITEM_MASTER!$A:$J,10,0),"?")</f>
        <v/>
      </c>
      <c r="K77" s="158" t="str">
        <f>IFERROR(VLOOKUP($A77,ITEM_MASTER!$A:$K,11,0),"?")</f>
        <v/>
      </c>
      <c r="L77" s="158" t="b">
        <f>IFERROR(VLOOKUP($A77,ITEM_MASTER!$A:$N,12,0),"?")</f>
        <v>0</v>
      </c>
    </row>
    <row r="78" ht="15.75" customHeight="1">
      <c r="A78" s="157" t="s">
        <v>344</v>
      </c>
      <c r="B78" s="161" t="str">
        <f t="shared" si="1"/>
        <v>mat</v>
      </c>
      <c r="C78" s="162" t="s">
        <v>657</v>
      </c>
      <c r="D78" s="80" t="s">
        <v>655</v>
      </c>
      <c r="E78" s="160" t="str">
        <f>IFERROR(VLOOKUP(A78,ITEM_MASTER!$A:$E,4,0),"?")</f>
        <v>Matte Paint #1</v>
      </c>
      <c r="F78" s="160" t="str">
        <f>IFERROR(VLOOKUP(A78,ITEM_MASTER!$A:$E,5,0),"?")</f>
        <v>Sơn Nhẵn #1</v>
      </c>
      <c r="G78" s="158" t="str">
        <f>IFERROR(VLOOKUP($A78,ITEM_MASTER!$A:$I,7,0),"?")</f>
        <v>Common</v>
      </c>
      <c r="H78" s="158" t="str">
        <f>IFERROR(VLOOKUP($A78,ITEM_MASTER!$A:$I,8,0),"?")</f>
        <v>unreleased</v>
      </c>
      <c r="I78" s="158" t="str">
        <f>IFERROR(VLOOKUP($A78,ITEM_MASTER!$A:$I,9,0),"?")</f>
        <v>Post-Race Rewards</v>
      </c>
      <c r="J78" s="158" t="str">
        <f>IFERROR(VLOOKUP($A78,ITEM_MASTER!$A:$J,10,0),"?")</f>
        <v/>
      </c>
      <c r="K78" s="158" t="str">
        <f>IFERROR(VLOOKUP($A78,ITEM_MASTER!$A:$K,11,0),"?")</f>
        <v/>
      </c>
      <c r="L78" s="158" t="b">
        <f>IFERROR(VLOOKUP($A78,ITEM_MASTER!$A:$N,12,0),"?")</f>
        <v>0</v>
      </c>
    </row>
    <row r="79" ht="15.75" customHeight="1">
      <c r="A79" s="157" t="s">
        <v>345</v>
      </c>
      <c r="B79" s="161" t="str">
        <f t="shared" si="1"/>
        <v>mat</v>
      </c>
      <c r="C79" s="162" t="s">
        <v>657</v>
      </c>
      <c r="D79" s="80" t="s">
        <v>655</v>
      </c>
      <c r="E79" s="160" t="str">
        <f>IFERROR(VLOOKUP(A79,ITEM_MASTER!$A:$E,4,0),"?")</f>
        <v>Matte Paint #2</v>
      </c>
      <c r="F79" s="160" t="str">
        <f>IFERROR(VLOOKUP(A79,ITEM_MASTER!$A:$E,5,0),"?")</f>
        <v>Sơn Nhẵn #2</v>
      </c>
      <c r="G79" s="158" t="str">
        <f>IFERROR(VLOOKUP($A79,ITEM_MASTER!$A:$I,7,0),"?")</f>
        <v>Common</v>
      </c>
      <c r="H79" s="158" t="str">
        <f>IFERROR(VLOOKUP($A79,ITEM_MASTER!$A:$I,8,0),"?")</f>
        <v>unreleased</v>
      </c>
      <c r="I79" s="158" t="str">
        <f>IFERROR(VLOOKUP($A79,ITEM_MASTER!$A:$I,9,0),"?")</f>
        <v>Post-Race Rewards</v>
      </c>
      <c r="J79" s="158" t="str">
        <f>IFERROR(VLOOKUP($A79,ITEM_MASTER!$A:$J,10,0),"?")</f>
        <v/>
      </c>
      <c r="K79" s="158" t="str">
        <f>IFERROR(VLOOKUP($A79,ITEM_MASTER!$A:$K,11,0),"?")</f>
        <v/>
      </c>
      <c r="L79" s="158" t="b">
        <f>IFERROR(VLOOKUP($A79,ITEM_MASTER!$A:$N,12,0),"?")</f>
        <v>0</v>
      </c>
    </row>
    <row r="80" ht="15.75" customHeight="1">
      <c r="A80" s="157" t="s">
        <v>346</v>
      </c>
      <c r="B80" s="161" t="str">
        <f t="shared" si="1"/>
        <v>mat</v>
      </c>
      <c r="C80" s="162" t="s">
        <v>657</v>
      </c>
      <c r="D80" s="80" t="s">
        <v>655</v>
      </c>
      <c r="E80" s="160" t="str">
        <f>IFERROR(VLOOKUP(A80,ITEM_MASTER!$A:$E,4,0),"?")</f>
        <v>Matte Paint #3</v>
      </c>
      <c r="F80" s="160" t="str">
        <f>IFERROR(VLOOKUP(A80,ITEM_MASTER!$A:$E,5,0),"?")</f>
        <v>Sơn Nhẵn #3</v>
      </c>
      <c r="G80" s="158" t="str">
        <f>IFERROR(VLOOKUP($A80,ITEM_MASTER!$A:$I,7,0),"?")</f>
        <v>Common</v>
      </c>
      <c r="H80" s="158" t="str">
        <f>IFERROR(VLOOKUP($A80,ITEM_MASTER!$A:$I,8,0),"?")</f>
        <v>unreleased</v>
      </c>
      <c r="I80" s="158" t="str">
        <f>IFERROR(VLOOKUP($A80,ITEM_MASTER!$A:$I,9,0),"?")</f>
        <v>Post-Race Rewards</v>
      </c>
      <c r="J80" s="158" t="str">
        <f>IFERROR(VLOOKUP($A80,ITEM_MASTER!$A:$J,10,0),"?")</f>
        <v/>
      </c>
      <c r="K80" s="158" t="str">
        <f>IFERROR(VLOOKUP($A80,ITEM_MASTER!$A:$K,11,0),"?")</f>
        <v/>
      </c>
      <c r="L80" s="158" t="b">
        <f>IFERROR(VLOOKUP($A80,ITEM_MASTER!$A:$N,12,0),"?")</f>
        <v>0</v>
      </c>
    </row>
    <row r="81" ht="15.75" customHeight="1">
      <c r="A81" s="157" t="s">
        <v>347</v>
      </c>
      <c r="B81" s="161" t="str">
        <f t="shared" si="1"/>
        <v>mat</v>
      </c>
      <c r="C81" s="162" t="s">
        <v>657</v>
      </c>
      <c r="D81" s="80" t="s">
        <v>655</v>
      </c>
      <c r="E81" s="160" t="str">
        <f>IFERROR(VLOOKUP(A81,ITEM_MASTER!$A:$E,4,0),"?")</f>
        <v>Pearlescent Paint #1</v>
      </c>
      <c r="F81" s="160" t="str">
        <f>IFERROR(VLOOKUP(A81,ITEM_MASTER!$A:$E,5,0),"?")</f>
        <v>Sơn Pearlescent #1</v>
      </c>
      <c r="G81" s="158" t="str">
        <f>IFERROR(VLOOKUP($A81,ITEM_MASTER!$A:$I,7,0),"?")</f>
        <v>Common</v>
      </c>
      <c r="H81" s="158" t="str">
        <f>IFERROR(VLOOKUP($A81,ITEM_MASTER!$A:$I,8,0),"?")</f>
        <v>unreleased</v>
      </c>
      <c r="I81" s="158" t="str">
        <f>IFERROR(VLOOKUP($A81,ITEM_MASTER!$A:$I,9,0),"?")</f>
        <v>Post-Race Rewards</v>
      </c>
      <c r="J81" s="158" t="str">
        <f>IFERROR(VLOOKUP($A81,ITEM_MASTER!$A:$J,10,0),"?")</f>
        <v/>
      </c>
      <c r="K81" s="158" t="str">
        <f>IFERROR(VLOOKUP($A81,ITEM_MASTER!$A:$K,11,0),"?")</f>
        <v/>
      </c>
      <c r="L81" s="158" t="b">
        <f>IFERROR(VLOOKUP($A81,ITEM_MASTER!$A:$N,12,0),"?")</f>
        <v>0</v>
      </c>
    </row>
    <row r="82" ht="15.75" customHeight="1">
      <c r="A82" s="157" t="s">
        <v>348</v>
      </c>
      <c r="B82" s="161" t="str">
        <f t="shared" si="1"/>
        <v>mat</v>
      </c>
      <c r="C82" s="162" t="s">
        <v>657</v>
      </c>
      <c r="D82" s="80" t="s">
        <v>655</v>
      </c>
      <c r="E82" s="160" t="str">
        <f>IFERROR(VLOOKUP(A82,ITEM_MASTER!$A:$E,4,0),"?")</f>
        <v>Pearlescent Paint #2</v>
      </c>
      <c r="F82" s="160" t="str">
        <f>IFERROR(VLOOKUP(A82,ITEM_MASTER!$A:$E,5,0),"?")</f>
        <v>Sơn Pearlescent #2</v>
      </c>
      <c r="G82" s="158" t="str">
        <f>IFERROR(VLOOKUP($A82,ITEM_MASTER!$A:$I,7,0),"?")</f>
        <v>Common</v>
      </c>
      <c r="H82" s="158" t="str">
        <f>IFERROR(VLOOKUP($A82,ITEM_MASTER!$A:$I,8,0),"?")</f>
        <v>unreleased</v>
      </c>
      <c r="I82" s="158" t="str">
        <f>IFERROR(VLOOKUP($A82,ITEM_MASTER!$A:$I,9,0),"?")</f>
        <v>Post-Race Rewards</v>
      </c>
      <c r="J82" s="158" t="str">
        <f>IFERROR(VLOOKUP($A82,ITEM_MASTER!$A:$J,10,0),"?")</f>
        <v/>
      </c>
      <c r="K82" s="158" t="str">
        <f>IFERROR(VLOOKUP($A82,ITEM_MASTER!$A:$K,11,0),"?")</f>
        <v/>
      </c>
      <c r="L82" s="158" t="b">
        <f>IFERROR(VLOOKUP($A82,ITEM_MASTER!$A:$N,12,0),"?")</f>
        <v>0</v>
      </c>
    </row>
    <row r="83" ht="15.75" customHeight="1">
      <c r="A83" s="157" t="s">
        <v>349</v>
      </c>
      <c r="B83" s="161" t="str">
        <f t="shared" si="1"/>
        <v>mat</v>
      </c>
      <c r="C83" s="162" t="s">
        <v>657</v>
      </c>
      <c r="D83" s="80" t="s">
        <v>655</v>
      </c>
      <c r="E83" s="160" t="str">
        <f>IFERROR(VLOOKUP(A83,ITEM_MASTER!$A:$E,4,0),"?")</f>
        <v>Pearlescent Paint #3</v>
      </c>
      <c r="F83" s="160" t="str">
        <f>IFERROR(VLOOKUP(A83,ITEM_MASTER!$A:$E,5,0),"?")</f>
        <v>Sơn Pearlescent #3</v>
      </c>
      <c r="G83" s="158" t="str">
        <f>IFERROR(VLOOKUP($A83,ITEM_MASTER!$A:$I,7,0),"?")</f>
        <v>Common</v>
      </c>
      <c r="H83" s="158" t="str">
        <f>IFERROR(VLOOKUP($A83,ITEM_MASTER!$A:$I,8,0),"?")</f>
        <v>unreleased</v>
      </c>
      <c r="I83" s="158" t="str">
        <f>IFERROR(VLOOKUP($A83,ITEM_MASTER!$A:$I,9,0),"?")</f>
        <v>Post-Race Rewards</v>
      </c>
      <c r="J83" s="158" t="str">
        <f>IFERROR(VLOOKUP($A83,ITEM_MASTER!$A:$J,10,0),"?")</f>
        <v/>
      </c>
      <c r="K83" s="158" t="str">
        <f>IFERROR(VLOOKUP($A83,ITEM_MASTER!$A:$K,11,0),"?")</f>
        <v/>
      </c>
      <c r="L83" s="158" t="b">
        <f>IFERROR(VLOOKUP($A83,ITEM_MASTER!$A:$N,12,0),"?")</f>
        <v>0</v>
      </c>
    </row>
    <row r="84" ht="15.75" customHeight="1">
      <c r="A84" s="157" t="s">
        <v>350</v>
      </c>
      <c r="B84" s="161" t="str">
        <f t="shared" si="1"/>
        <v>mat</v>
      </c>
      <c r="C84" s="162" t="s">
        <v>657</v>
      </c>
      <c r="D84" s="80" t="s">
        <v>655</v>
      </c>
      <c r="E84" s="160" t="str">
        <f>IFERROR(VLOOKUP(A84,ITEM_MASTER!$A:$E,4,0),"?")</f>
        <v>Chameleon Paint #1</v>
      </c>
      <c r="F84" s="160" t="str">
        <f>IFERROR(VLOOKUP(A84,ITEM_MASTER!$A:$E,5,0),"?")</f>
        <v>Sơn Chameleon #1</v>
      </c>
      <c r="G84" s="158" t="str">
        <f>IFERROR(VLOOKUP($A84,ITEM_MASTER!$A:$I,7,0),"?")</f>
        <v>UnCommon</v>
      </c>
      <c r="H84" s="158" t="str">
        <f>IFERROR(VLOOKUP($A84,ITEM_MASTER!$A:$I,8,0),"?")</f>
        <v>unreleased</v>
      </c>
      <c r="I84" s="158" t="str">
        <f>IFERROR(VLOOKUP($A84,ITEM_MASTER!$A:$I,9,0),"?")</f>
        <v>Post-Race Rewards</v>
      </c>
      <c r="J84" s="158" t="str">
        <f>IFERROR(VLOOKUP($A84,ITEM_MASTER!$A:$J,10,0),"?")</f>
        <v/>
      </c>
      <c r="K84" s="158" t="str">
        <f>IFERROR(VLOOKUP($A84,ITEM_MASTER!$A:$K,11,0),"?")</f>
        <v/>
      </c>
      <c r="L84" s="158" t="b">
        <f>IFERROR(VLOOKUP($A84,ITEM_MASTER!$A:$N,12,0),"?")</f>
        <v>0</v>
      </c>
    </row>
    <row r="85" ht="15.75" customHeight="1">
      <c r="A85" s="157" t="s">
        <v>351</v>
      </c>
      <c r="B85" s="161" t="str">
        <f t="shared" si="1"/>
        <v>mat</v>
      </c>
      <c r="C85" s="162" t="s">
        <v>657</v>
      </c>
      <c r="D85" s="80" t="s">
        <v>655</v>
      </c>
      <c r="E85" s="160" t="str">
        <f>IFERROR(VLOOKUP(A85,ITEM_MASTER!$A:$E,4,0),"?")</f>
        <v>Chameleon Paint #2</v>
      </c>
      <c r="F85" s="160" t="str">
        <f>IFERROR(VLOOKUP(A85,ITEM_MASTER!$A:$E,5,0),"?")</f>
        <v>Sơn Chameleon #2</v>
      </c>
      <c r="G85" s="158" t="str">
        <f>IFERROR(VLOOKUP($A85,ITEM_MASTER!$A:$I,7,0),"?")</f>
        <v>UnCommon</v>
      </c>
      <c r="H85" s="158" t="str">
        <f>IFERROR(VLOOKUP($A85,ITEM_MASTER!$A:$I,8,0),"?")</f>
        <v>unreleased</v>
      </c>
      <c r="I85" s="158" t="str">
        <f>IFERROR(VLOOKUP($A85,ITEM_MASTER!$A:$I,9,0),"?")</f>
        <v>Post-Race Rewards</v>
      </c>
      <c r="J85" s="158" t="str">
        <f>IFERROR(VLOOKUP($A85,ITEM_MASTER!$A:$J,10,0),"?")</f>
        <v/>
      </c>
      <c r="K85" s="158" t="str">
        <f>IFERROR(VLOOKUP($A85,ITEM_MASTER!$A:$K,11,0),"?")</f>
        <v/>
      </c>
      <c r="L85" s="158" t="b">
        <f>IFERROR(VLOOKUP($A85,ITEM_MASTER!$A:$N,12,0),"?")</f>
        <v>0</v>
      </c>
    </row>
    <row r="86" ht="15.75" customHeight="1">
      <c r="A86" s="157" t="s">
        <v>352</v>
      </c>
      <c r="B86" s="161" t="str">
        <f t="shared" si="1"/>
        <v>mat</v>
      </c>
      <c r="C86" s="162" t="s">
        <v>657</v>
      </c>
      <c r="D86" s="80" t="s">
        <v>655</v>
      </c>
      <c r="E86" s="160" t="str">
        <f>IFERROR(VLOOKUP(A86,ITEM_MASTER!$A:$E,4,0),"?")</f>
        <v>Chameleon Paint #3</v>
      </c>
      <c r="F86" s="160" t="str">
        <f>IFERROR(VLOOKUP(A86,ITEM_MASTER!$A:$E,5,0),"?")</f>
        <v>Sơn Chameleon #3</v>
      </c>
      <c r="G86" s="158" t="str">
        <f>IFERROR(VLOOKUP($A86,ITEM_MASTER!$A:$I,7,0),"?")</f>
        <v>UnCommon</v>
      </c>
      <c r="H86" s="158" t="str">
        <f>IFERROR(VLOOKUP($A86,ITEM_MASTER!$A:$I,8,0),"?")</f>
        <v>unreleased</v>
      </c>
      <c r="I86" s="158" t="str">
        <f>IFERROR(VLOOKUP($A86,ITEM_MASTER!$A:$I,9,0),"?")</f>
        <v>Post-Race Rewards</v>
      </c>
      <c r="J86" s="158" t="str">
        <f>IFERROR(VLOOKUP($A86,ITEM_MASTER!$A:$J,10,0),"?")</f>
        <v/>
      </c>
      <c r="K86" s="158" t="str">
        <f>IFERROR(VLOOKUP($A86,ITEM_MASTER!$A:$K,11,0),"?")</f>
        <v/>
      </c>
      <c r="L86" s="158" t="b">
        <f>IFERROR(VLOOKUP($A86,ITEM_MASTER!$A:$N,12,0),"?")</f>
        <v>0</v>
      </c>
    </row>
    <row r="87" ht="15.75" customHeight="1">
      <c r="A87" s="157" t="s">
        <v>353</v>
      </c>
      <c r="B87" s="161" t="str">
        <f t="shared" si="1"/>
        <v>mat</v>
      </c>
      <c r="C87" s="162" t="s">
        <v>657</v>
      </c>
      <c r="D87" s="80" t="s">
        <v>656</v>
      </c>
      <c r="E87" s="160" t="str">
        <f>IFERROR(VLOOKUP(A87,ITEM_MASTER!$A:$E,4,0),"?")</f>
        <v>Metallic Paint #1</v>
      </c>
      <c r="F87" s="160" t="str">
        <f>IFERROR(VLOOKUP(A87,ITEM_MASTER!$A:$E,5,0),"?")</f>
        <v>Sơn Kim Loại #1</v>
      </c>
      <c r="G87" s="158" t="str">
        <f>IFERROR(VLOOKUP($A87,ITEM_MASTER!$A:$I,7,0),"?")</f>
        <v>Common</v>
      </c>
      <c r="H87" s="158" t="str">
        <f>IFERROR(VLOOKUP($A87,ITEM_MASTER!$A:$I,8,0),"?")</f>
        <v>unreleased</v>
      </c>
      <c r="I87" s="158" t="str">
        <f>IFERROR(VLOOKUP($A87,ITEM_MASTER!$A:$I,9,0),"?")</f>
        <v>Post-Race Rewards</v>
      </c>
      <c r="J87" s="158" t="str">
        <f>IFERROR(VLOOKUP($A87,ITEM_MASTER!$A:$J,10,0),"?")</f>
        <v/>
      </c>
      <c r="K87" s="158" t="str">
        <f>IFERROR(VLOOKUP($A87,ITEM_MASTER!$A:$K,11,0),"?")</f>
        <v/>
      </c>
      <c r="L87" s="158" t="b">
        <f>IFERROR(VLOOKUP($A87,ITEM_MASTER!$A:$N,12,0),"?")</f>
        <v>0</v>
      </c>
    </row>
    <row r="88" ht="15.75" customHeight="1">
      <c r="A88" s="157" t="s">
        <v>354</v>
      </c>
      <c r="B88" s="161" t="str">
        <f t="shared" si="1"/>
        <v>mat</v>
      </c>
      <c r="C88" s="162" t="s">
        <v>657</v>
      </c>
      <c r="D88" s="80" t="s">
        <v>656</v>
      </c>
      <c r="E88" s="160" t="str">
        <f>IFERROR(VLOOKUP(A88,ITEM_MASTER!$A:$E,4,0),"?")</f>
        <v>Metallic Paint #2</v>
      </c>
      <c r="F88" s="160" t="str">
        <f>IFERROR(VLOOKUP(A88,ITEM_MASTER!$A:$E,5,0),"?")</f>
        <v>Sơn Kim Loại #2</v>
      </c>
      <c r="G88" s="158" t="str">
        <f>IFERROR(VLOOKUP($A88,ITEM_MASTER!$A:$I,7,0),"?")</f>
        <v>Common</v>
      </c>
      <c r="H88" s="158" t="str">
        <f>IFERROR(VLOOKUP($A88,ITEM_MASTER!$A:$I,8,0),"?")</f>
        <v>unreleased</v>
      </c>
      <c r="I88" s="158" t="str">
        <f>IFERROR(VLOOKUP($A88,ITEM_MASTER!$A:$I,9,0),"?")</f>
        <v>Post-Race Rewards</v>
      </c>
      <c r="J88" s="158" t="str">
        <f>IFERROR(VLOOKUP($A88,ITEM_MASTER!$A:$J,10,0),"?")</f>
        <v/>
      </c>
      <c r="K88" s="158" t="str">
        <f>IFERROR(VLOOKUP($A88,ITEM_MASTER!$A:$K,11,0),"?")</f>
        <v/>
      </c>
      <c r="L88" s="158" t="b">
        <f>IFERROR(VLOOKUP($A88,ITEM_MASTER!$A:$N,12,0),"?")</f>
        <v>0</v>
      </c>
    </row>
    <row r="89" ht="15.75" customHeight="1">
      <c r="A89" s="157" t="s">
        <v>355</v>
      </c>
      <c r="B89" s="161" t="str">
        <f t="shared" si="1"/>
        <v>mat</v>
      </c>
      <c r="C89" s="162" t="s">
        <v>657</v>
      </c>
      <c r="D89" s="80" t="s">
        <v>656</v>
      </c>
      <c r="E89" s="160" t="str">
        <f>IFERROR(VLOOKUP(A89,ITEM_MASTER!$A:$E,4,0),"?")</f>
        <v>Metallic Paint #3</v>
      </c>
      <c r="F89" s="160" t="str">
        <f>IFERROR(VLOOKUP(A89,ITEM_MASTER!$A:$E,5,0),"?")</f>
        <v>Sơn Kim Loại #3</v>
      </c>
      <c r="G89" s="158" t="str">
        <f>IFERROR(VLOOKUP($A89,ITEM_MASTER!$A:$I,7,0),"?")</f>
        <v>Common</v>
      </c>
      <c r="H89" s="158" t="str">
        <f>IFERROR(VLOOKUP($A89,ITEM_MASTER!$A:$I,8,0),"?")</f>
        <v>unreleased</v>
      </c>
      <c r="I89" s="158" t="str">
        <f>IFERROR(VLOOKUP($A89,ITEM_MASTER!$A:$I,9,0),"?")</f>
        <v>Post-Race Rewards</v>
      </c>
      <c r="J89" s="158" t="str">
        <f>IFERROR(VLOOKUP($A89,ITEM_MASTER!$A:$J,10,0),"?")</f>
        <v/>
      </c>
      <c r="K89" s="158" t="str">
        <f>IFERROR(VLOOKUP($A89,ITEM_MASTER!$A:$K,11,0),"?")</f>
        <v/>
      </c>
      <c r="L89" s="158" t="b">
        <f>IFERROR(VLOOKUP($A89,ITEM_MASTER!$A:$N,12,0),"?")</f>
        <v>0</v>
      </c>
    </row>
    <row r="90" ht="15.75" customHeight="1">
      <c r="A90" s="157" t="s">
        <v>356</v>
      </c>
      <c r="B90" s="161" t="str">
        <f t="shared" si="1"/>
        <v>mat</v>
      </c>
      <c r="C90" s="162" t="s">
        <v>657</v>
      </c>
      <c r="D90" s="80" t="s">
        <v>656</v>
      </c>
      <c r="E90" s="160" t="str">
        <f>IFERROR(VLOOKUP(A90,ITEM_MASTER!$A:$E,4,0),"?")</f>
        <v>Glossy Paint #1</v>
      </c>
      <c r="F90" s="160" t="str">
        <f>IFERROR(VLOOKUP(A90,ITEM_MASTER!$A:$E,5,0),"?")</f>
        <v>Sơn Bóng #1</v>
      </c>
      <c r="G90" s="158" t="str">
        <f>IFERROR(VLOOKUP($A90,ITEM_MASTER!$A:$I,7,0),"?")</f>
        <v>Common</v>
      </c>
      <c r="H90" s="158" t="str">
        <f>IFERROR(VLOOKUP($A90,ITEM_MASTER!$A:$I,8,0),"?")</f>
        <v>unreleased</v>
      </c>
      <c r="I90" s="158" t="str">
        <f>IFERROR(VLOOKUP($A90,ITEM_MASTER!$A:$I,9,0),"?")</f>
        <v>Post-Race Rewards</v>
      </c>
      <c r="J90" s="158" t="str">
        <f>IFERROR(VLOOKUP($A90,ITEM_MASTER!$A:$J,10,0),"?")</f>
        <v/>
      </c>
      <c r="K90" s="158" t="str">
        <f>IFERROR(VLOOKUP($A90,ITEM_MASTER!$A:$K,11,0),"?")</f>
        <v/>
      </c>
      <c r="L90" s="158" t="b">
        <f>IFERROR(VLOOKUP($A90,ITEM_MASTER!$A:$N,12,0),"?")</f>
        <v>0</v>
      </c>
    </row>
    <row r="91" ht="15.75" customHeight="1">
      <c r="A91" s="157" t="s">
        <v>357</v>
      </c>
      <c r="B91" s="161" t="str">
        <f t="shared" si="1"/>
        <v>mat</v>
      </c>
      <c r="C91" s="162" t="s">
        <v>657</v>
      </c>
      <c r="D91" s="80" t="s">
        <v>656</v>
      </c>
      <c r="E91" s="160" t="str">
        <f>IFERROR(VLOOKUP(A91,ITEM_MASTER!$A:$E,4,0),"?")</f>
        <v>Glossy Paint #2</v>
      </c>
      <c r="F91" s="160" t="str">
        <f>IFERROR(VLOOKUP(A91,ITEM_MASTER!$A:$E,5,0),"?")</f>
        <v>Sơn Bóng #2</v>
      </c>
      <c r="G91" s="158" t="str">
        <f>IFERROR(VLOOKUP($A91,ITEM_MASTER!$A:$I,7,0),"?")</f>
        <v>Common</v>
      </c>
      <c r="H91" s="158" t="str">
        <f>IFERROR(VLOOKUP($A91,ITEM_MASTER!$A:$I,8,0),"?")</f>
        <v>unreleased</v>
      </c>
      <c r="I91" s="158" t="str">
        <f>IFERROR(VLOOKUP($A91,ITEM_MASTER!$A:$I,9,0),"?")</f>
        <v>Post-Race Rewards</v>
      </c>
      <c r="J91" s="158" t="str">
        <f>IFERROR(VLOOKUP($A91,ITEM_MASTER!$A:$J,10,0),"?")</f>
        <v/>
      </c>
      <c r="K91" s="158" t="str">
        <f>IFERROR(VLOOKUP($A91,ITEM_MASTER!$A:$K,11,0),"?")</f>
        <v/>
      </c>
      <c r="L91" s="158" t="b">
        <f>IFERROR(VLOOKUP($A91,ITEM_MASTER!$A:$N,12,0),"?")</f>
        <v>0</v>
      </c>
    </row>
    <row r="92" ht="15.75" customHeight="1">
      <c r="A92" s="157" t="s">
        <v>358</v>
      </c>
      <c r="B92" s="161" t="str">
        <f t="shared" si="1"/>
        <v>mat</v>
      </c>
      <c r="C92" s="162" t="s">
        <v>657</v>
      </c>
      <c r="D92" s="80" t="s">
        <v>656</v>
      </c>
      <c r="E92" s="160" t="str">
        <f>IFERROR(VLOOKUP(A92,ITEM_MASTER!$A:$E,4,0),"?")</f>
        <v>Glossy Paint #3</v>
      </c>
      <c r="F92" s="160" t="str">
        <f>IFERROR(VLOOKUP(A92,ITEM_MASTER!$A:$E,5,0),"?")</f>
        <v>Sơn Bóng #3</v>
      </c>
      <c r="G92" s="158" t="str">
        <f>IFERROR(VLOOKUP($A92,ITEM_MASTER!$A:$I,7,0),"?")</f>
        <v>Common</v>
      </c>
      <c r="H92" s="158" t="str">
        <f>IFERROR(VLOOKUP($A92,ITEM_MASTER!$A:$I,8,0),"?")</f>
        <v>unreleased</v>
      </c>
      <c r="I92" s="158" t="str">
        <f>IFERROR(VLOOKUP($A92,ITEM_MASTER!$A:$I,9,0),"?")</f>
        <v>Post-Race Rewards</v>
      </c>
      <c r="J92" s="158" t="str">
        <f>IFERROR(VLOOKUP($A92,ITEM_MASTER!$A:$J,10,0),"?")</f>
        <v/>
      </c>
      <c r="K92" s="158" t="str">
        <f>IFERROR(VLOOKUP($A92,ITEM_MASTER!$A:$K,11,0),"?")</f>
        <v/>
      </c>
      <c r="L92" s="158" t="b">
        <f>IFERROR(VLOOKUP($A92,ITEM_MASTER!$A:$N,12,0),"?")</f>
        <v>0</v>
      </c>
    </row>
    <row r="93" ht="15.75" customHeight="1">
      <c r="A93" s="157" t="s">
        <v>359</v>
      </c>
      <c r="B93" s="161" t="str">
        <f t="shared" si="1"/>
        <v>mat</v>
      </c>
      <c r="C93" s="162" t="s">
        <v>657</v>
      </c>
      <c r="D93" s="80" t="s">
        <v>656</v>
      </c>
      <c r="E93" s="160" t="str">
        <f>IFERROR(VLOOKUP(A93,ITEM_MASTER!$A:$E,4,0),"?")</f>
        <v>Matte Paint #1</v>
      </c>
      <c r="F93" s="160" t="str">
        <f>IFERROR(VLOOKUP(A93,ITEM_MASTER!$A:$E,5,0),"?")</f>
        <v>Sơn Nhẵn #1</v>
      </c>
      <c r="G93" s="158" t="str">
        <f>IFERROR(VLOOKUP($A93,ITEM_MASTER!$A:$I,7,0),"?")</f>
        <v>Common</v>
      </c>
      <c r="H93" s="158" t="str">
        <f>IFERROR(VLOOKUP($A93,ITEM_MASTER!$A:$I,8,0),"?")</f>
        <v>unreleased</v>
      </c>
      <c r="I93" s="158" t="str">
        <f>IFERROR(VLOOKUP($A93,ITEM_MASTER!$A:$I,9,0),"?")</f>
        <v>Post-Race Rewards</v>
      </c>
      <c r="J93" s="158" t="str">
        <f>IFERROR(VLOOKUP($A93,ITEM_MASTER!$A:$J,10,0),"?")</f>
        <v/>
      </c>
      <c r="K93" s="158" t="str">
        <f>IFERROR(VLOOKUP($A93,ITEM_MASTER!$A:$K,11,0),"?")</f>
        <v/>
      </c>
      <c r="L93" s="158" t="b">
        <f>IFERROR(VLOOKUP($A93,ITEM_MASTER!$A:$N,12,0),"?")</f>
        <v>0</v>
      </c>
    </row>
    <row r="94" ht="15.75" customHeight="1">
      <c r="A94" s="157" t="s">
        <v>360</v>
      </c>
      <c r="B94" s="161" t="str">
        <f t="shared" si="1"/>
        <v>mat</v>
      </c>
      <c r="C94" s="162" t="s">
        <v>657</v>
      </c>
      <c r="D94" s="80" t="s">
        <v>656</v>
      </c>
      <c r="E94" s="160" t="str">
        <f>IFERROR(VLOOKUP(A94,ITEM_MASTER!$A:$E,4,0),"?")</f>
        <v>Matte Paint #2</v>
      </c>
      <c r="F94" s="160" t="str">
        <f>IFERROR(VLOOKUP(A94,ITEM_MASTER!$A:$E,5,0),"?")</f>
        <v>Sơn Nhẵn #2</v>
      </c>
      <c r="G94" s="158" t="str">
        <f>IFERROR(VLOOKUP($A94,ITEM_MASTER!$A:$I,7,0),"?")</f>
        <v>Common</v>
      </c>
      <c r="H94" s="158" t="str">
        <f>IFERROR(VLOOKUP($A94,ITEM_MASTER!$A:$I,8,0),"?")</f>
        <v>unreleased</v>
      </c>
      <c r="I94" s="158" t="str">
        <f>IFERROR(VLOOKUP($A94,ITEM_MASTER!$A:$I,9,0),"?")</f>
        <v>Post-Race Rewards</v>
      </c>
      <c r="J94" s="158" t="str">
        <f>IFERROR(VLOOKUP($A94,ITEM_MASTER!$A:$J,10,0),"?")</f>
        <v/>
      </c>
      <c r="K94" s="158" t="str">
        <f>IFERROR(VLOOKUP($A94,ITEM_MASTER!$A:$K,11,0),"?")</f>
        <v/>
      </c>
      <c r="L94" s="158" t="b">
        <f>IFERROR(VLOOKUP($A94,ITEM_MASTER!$A:$N,12,0),"?")</f>
        <v>0</v>
      </c>
    </row>
    <row r="95" ht="15.75" customHeight="1">
      <c r="A95" s="157" t="s">
        <v>361</v>
      </c>
      <c r="B95" s="161" t="str">
        <f t="shared" si="1"/>
        <v>mat</v>
      </c>
      <c r="C95" s="162" t="s">
        <v>657</v>
      </c>
      <c r="D95" s="80" t="s">
        <v>656</v>
      </c>
      <c r="E95" s="160" t="str">
        <f>IFERROR(VLOOKUP(A95,ITEM_MASTER!$A:$E,4,0),"?")</f>
        <v>Matte Paint #3</v>
      </c>
      <c r="F95" s="160" t="str">
        <f>IFERROR(VLOOKUP(A95,ITEM_MASTER!$A:$E,5,0),"?")</f>
        <v>Sơn Nhẵn #3</v>
      </c>
      <c r="G95" s="158" t="str">
        <f>IFERROR(VLOOKUP($A95,ITEM_MASTER!$A:$I,7,0),"?")</f>
        <v>Common</v>
      </c>
      <c r="H95" s="158" t="str">
        <f>IFERROR(VLOOKUP($A95,ITEM_MASTER!$A:$I,8,0),"?")</f>
        <v>unreleased</v>
      </c>
      <c r="I95" s="158" t="str">
        <f>IFERROR(VLOOKUP($A95,ITEM_MASTER!$A:$I,9,0),"?")</f>
        <v>Post-Race Rewards</v>
      </c>
      <c r="J95" s="158" t="str">
        <f>IFERROR(VLOOKUP($A95,ITEM_MASTER!$A:$J,10,0),"?")</f>
        <v/>
      </c>
      <c r="K95" s="158" t="str">
        <f>IFERROR(VLOOKUP($A95,ITEM_MASTER!$A:$K,11,0),"?")</f>
        <v/>
      </c>
      <c r="L95" s="158" t="b">
        <f>IFERROR(VLOOKUP($A95,ITEM_MASTER!$A:$N,12,0),"?")</f>
        <v>0</v>
      </c>
    </row>
    <row r="96" ht="15.75" customHeight="1">
      <c r="A96" s="157" t="s">
        <v>362</v>
      </c>
      <c r="B96" s="161" t="str">
        <f t="shared" si="1"/>
        <v>mat</v>
      </c>
      <c r="C96" s="162" t="s">
        <v>657</v>
      </c>
      <c r="D96" s="80" t="s">
        <v>656</v>
      </c>
      <c r="E96" s="160" t="str">
        <f>IFERROR(VLOOKUP(A96,ITEM_MASTER!$A:$E,4,0),"?")</f>
        <v>Pearlescent Paint #1</v>
      </c>
      <c r="F96" s="160" t="str">
        <f>IFERROR(VLOOKUP(A96,ITEM_MASTER!$A:$E,5,0),"?")</f>
        <v>Sơn Pearlescent #1</v>
      </c>
      <c r="G96" s="158" t="str">
        <f>IFERROR(VLOOKUP($A96,ITEM_MASTER!$A:$I,7,0),"?")</f>
        <v>Common</v>
      </c>
      <c r="H96" s="158" t="str">
        <f>IFERROR(VLOOKUP($A96,ITEM_MASTER!$A:$I,8,0),"?")</f>
        <v>unreleased</v>
      </c>
      <c r="I96" s="158" t="str">
        <f>IFERROR(VLOOKUP($A96,ITEM_MASTER!$A:$I,9,0),"?")</f>
        <v>Post-Race Rewards</v>
      </c>
      <c r="J96" s="158" t="str">
        <f>IFERROR(VLOOKUP($A96,ITEM_MASTER!$A:$J,10,0),"?")</f>
        <v/>
      </c>
      <c r="K96" s="158" t="str">
        <f>IFERROR(VLOOKUP($A96,ITEM_MASTER!$A:$K,11,0),"?")</f>
        <v/>
      </c>
      <c r="L96" s="158" t="b">
        <f>IFERROR(VLOOKUP($A96,ITEM_MASTER!$A:$N,12,0),"?")</f>
        <v>0</v>
      </c>
    </row>
    <row r="97" ht="15.75" customHeight="1">
      <c r="A97" s="157" t="s">
        <v>363</v>
      </c>
      <c r="B97" s="161" t="str">
        <f t="shared" si="1"/>
        <v>mat</v>
      </c>
      <c r="C97" s="162" t="s">
        <v>657</v>
      </c>
      <c r="D97" s="80" t="s">
        <v>656</v>
      </c>
      <c r="E97" s="160" t="str">
        <f>IFERROR(VLOOKUP(A97,ITEM_MASTER!$A:$E,4,0),"?")</f>
        <v>Pearlescent Paint #2</v>
      </c>
      <c r="F97" s="160" t="str">
        <f>IFERROR(VLOOKUP(A97,ITEM_MASTER!$A:$E,5,0),"?")</f>
        <v>Sơn Pearlescent #2</v>
      </c>
      <c r="G97" s="158" t="str">
        <f>IFERROR(VLOOKUP($A97,ITEM_MASTER!$A:$I,7,0),"?")</f>
        <v>Common</v>
      </c>
      <c r="H97" s="158" t="str">
        <f>IFERROR(VLOOKUP($A97,ITEM_MASTER!$A:$I,8,0),"?")</f>
        <v>unreleased</v>
      </c>
      <c r="I97" s="158" t="str">
        <f>IFERROR(VLOOKUP($A97,ITEM_MASTER!$A:$I,9,0),"?")</f>
        <v>Post-Race Rewards</v>
      </c>
      <c r="J97" s="158" t="str">
        <f>IFERROR(VLOOKUP($A97,ITEM_MASTER!$A:$J,10,0),"?")</f>
        <v/>
      </c>
      <c r="K97" s="158" t="str">
        <f>IFERROR(VLOOKUP($A97,ITEM_MASTER!$A:$K,11,0),"?")</f>
        <v/>
      </c>
      <c r="L97" s="158" t="b">
        <f>IFERROR(VLOOKUP($A97,ITEM_MASTER!$A:$N,12,0),"?")</f>
        <v>0</v>
      </c>
    </row>
    <row r="98" ht="15.75" customHeight="1">
      <c r="A98" s="157" t="s">
        <v>364</v>
      </c>
      <c r="B98" s="161" t="str">
        <f t="shared" si="1"/>
        <v>mat</v>
      </c>
      <c r="C98" s="162" t="s">
        <v>657</v>
      </c>
      <c r="D98" s="80" t="s">
        <v>656</v>
      </c>
      <c r="E98" s="160" t="str">
        <f>IFERROR(VLOOKUP(A98,ITEM_MASTER!$A:$E,4,0),"?")</f>
        <v>Pearlescent Paint #3</v>
      </c>
      <c r="F98" s="160" t="str">
        <f>IFERROR(VLOOKUP(A98,ITEM_MASTER!$A:$E,5,0),"?")</f>
        <v>Sơn Pearlescent #3</v>
      </c>
      <c r="G98" s="158" t="str">
        <f>IFERROR(VLOOKUP($A98,ITEM_MASTER!$A:$I,7,0),"?")</f>
        <v>Common</v>
      </c>
      <c r="H98" s="158" t="str">
        <f>IFERROR(VLOOKUP($A98,ITEM_MASTER!$A:$I,8,0),"?")</f>
        <v>unreleased</v>
      </c>
      <c r="I98" s="158" t="str">
        <f>IFERROR(VLOOKUP($A98,ITEM_MASTER!$A:$I,9,0),"?")</f>
        <v>Post-Race Rewards</v>
      </c>
      <c r="J98" s="158" t="str">
        <f>IFERROR(VLOOKUP($A98,ITEM_MASTER!$A:$J,10,0),"?")</f>
        <v/>
      </c>
      <c r="K98" s="158" t="str">
        <f>IFERROR(VLOOKUP($A98,ITEM_MASTER!$A:$K,11,0),"?")</f>
        <v/>
      </c>
      <c r="L98" s="158" t="b">
        <f>IFERROR(VLOOKUP($A98,ITEM_MASTER!$A:$N,12,0),"?")</f>
        <v>0</v>
      </c>
    </row>
    <row r="99" ht="15.75" customHeight="1">
      <c r="A99" s="157" t="s">
        <v>365</v>
      </c>
      <c r="B99" s="161" t="str">
        <f t="shared" si="1"/>
        <v>mat</v>
      </c>
      <c r="C99" s="162" t="s">
        <v>657</v>
      </c>
      <c r="D99" s="80" t="s">
        <v>656</v>
      </c>
      <c r="E99" s="160" t="str">
        <f>IFERROR(VLOOKUP(A99,ITEM_MASTER!$A:$E,4,0),"?")</f>
        <v>Chameleon Paint #1</v>
      </c>
      <c r="F99" s="160" t="str">
        <f>IFERROR(VLOOKUP(A99,ITEM_MASTER!$A:$E,5,0),"?")</f>
        <v>Sơn Chameleon #1</v>
      </c>
      <c r="G99" s="158" t="str">
        <f>IFERROR(VLOOKUP($A99,ITEM_MASTER!$A:$I,7,0),"?")</f>
        <v>UnCommon</v>
      </c>
      <c r="H99" s="158" t="str">
        <f>IFERROR(VLOOKUP($A99,ITEM_MASTER!$A:$I,8,0),"?")</f>
        <v>unreleased</v>
      </c>
      <c r="I99" s="158" t="str">
        <f>IFERROR(VLOOKUP($A99,ITEM_MASTER!$A:$I,9,0),"?")</f>
        <v>Post-Race Rewards</v>
      </c>
      <c r="J99" s="158" t="str">
        <f>IFERROR(VLOOKUP($A99,ITEM_MASTER!$A:$J,10,0),"?")</f>
        <v/>
      </c>
      <c r="K99" s="158" t="str">
        <f>IFERROR(VLOOKUP($A99,ITEM_MASTER!$A:$K,11,0),"?")</f>
        <v/>
      </c>
      <c r="L99" s="158" t="b">
        <f>IFERROR(VLOOKUP($A99,ITEM_MASTER!$A:$N,12,0),"?")</f>
        <v>0</v>
      </c>
    </row>
    <row r="100">
      <c r="A100" s="157" t="s">
        <v>366</v>
      </c>
      <c r="B100" s="161" t="str">
        <f t="shared" si="1"/>
        <v>mat</v>
      </c>
      <c r="C100" s="162" t="s">
        <v>657</v>
      </c>
      <c r="D100" s="80" t="s">
        <v>656</v>
      </c>
      <c r="E100" s="160" t="str">
        <f>IFERROR(VLOOKUP(A100,ITEM_MASTER!$A:$E,4,0),"?")</f>
        <v>Chameleon Paint #2</v>
      </c>
      <c r="F100" s="160" t="str">
        <f>IFERROR(VLOOKUP(A100,ITEM_MASTER!$A:$E,5,0),"?")</f>
        <v>Sơn Chameleon #2</v>
      </c>
      <c r="G100" s="158" t="str">
        <f>IFERROR(VLOOKUP($A100,ITEM_MASTER!$A:$I,7,0),"?")</f>
        <v>UnCommon</v>
      </c>
      <c r="H100" s="158" t="str">
        <f>IFERROR(VLOOKUP($A100,ITEM_MASTER!$A:$I,8,0),"?")</f>
        <v>unreleased</v>
      </c>
      <c r="I100" s="158" t="str">
        <f>IFERROR(VLOOKUP($A100,ITEM_MASTER!$A:$I,9,0),"?")</f>
        <v>Post-Race Rewards</v>
      </c>
      <c r="J100" s="158" t="str">
        <f>IFERROR(VLOOKUP($A100,ITEM_MASTER!$A:$J,10,0),"?")</f>
        <v/>
      </c>
      <c r="K100" s="158" t="str">
        <f>IFERROR(VLOOKUP($A100,ITEM_MASTER!$A:$K,11,0),"?")</f>
        <v/>
      </c>
      <c r="L100" s="158" t="b">
        <f>IFERROR(VLOOKUP($A100,ITEM_MASTER!$A:$N,12,0),"?")</f>
        <v>0</v>
      </c>
    </row>
    <row r="101">
      <c r="A101" s="157" t="s">
        <v>367</v>
      </c>
      <c r="B101" s="161" t="str">
        <f t="shared" si="1"/>
        <v>mat</v>
      </c>
      <c r="C101" s="162" t="s">
        <v>657</v>
      </c>
      <c r="D101" s="80" t="s">
        <v>656</v>
      </c>
      <c r="E101" s="160" t="str">
        <f>IFERROR(VLOOKUP(A101,ITEM_MASTER!$A:$E,4,0),"?")</f>
        <v>Chameleon Paint #3</v>
      </c>
      <c r="F101" s="160" t="str">
        <f>IFERROR(VLOOKUP(A101,ITEM_MASTER!$A:$E,5,0),"?")</f>
        <v>Sơn Chameleon #3</v>
      </c>
      <c r="G101" s="158" t="str">
        <f>IFERROR(VLOOKUP($A101,ITEM_MASTER!$A:$I,7,0),"?")</f>
        <v>UnCommon</v>
      </c>
      <c r="H101" s="158" t="str">
        <f>IFERROR(VLOOKUP($A101,ITEM_MASTER!$A:$I,8,0),"?")</f>
        <v>unreleased</v>
      </c>
      <c r="I101" s="158" t="str">
        <f>IFERROR(VLOOKUP($A101,ITEM_MASTER!$A:$I,9,0),"?")</f>
        <v>Post-Race Rewards</v>
      </c>
      <c r="J101" s="158" t="str">
        <f>IFERROR(VLOOKUP($A101,ITEM_MASTER!$A:$J,10,0),"?")</f>
        <v/>
      </c>
      <c r="K101" s="158" t="str">
        <f>IFERROR(VLOOKUP($A101,ITEM_MASTER!$A:$K,11,0),"?")</f>
        <v/>
      </c>
      <c r="L101" s="158" t="b">
        <f>IFERROR(VLOOKUP($A101,ITEM_MASTER!$A:$N,12,0),"?")</f>
        <v>0</v>
      </c>
    </row>
    <row r="102">
      <c r="A102" s="157" t="s">
        <v>368</v>
      </c>
      <c r="B102" s="161" t="str">
        <f t="shared" si="1"/>
        <v>mat</v>
      </c>
      <c r="C102" s="162" t="s">
        <v>658</v>
      </c>
      <c r="D102" s="80" t="s">
        <v>649</v>
      </c>
      <c r="E102" s="160" t="str">
        <f>IFERROR(VLOOKUP(A102,ITEM_MASTER!$A:$E,4,0),"?")</f>
        <v>Metallic Wheel #1</v>
      </c>
      <c r="F102" s="160" t="str">
        <f>IFERROR(VLOOKUP(A102,ITEM_MASTER!$A:$E,5,0),"?")</f>
        <v>Mâm Kim Loại #1</v>
      </c>
      <c r="G102" s="158" t="str">
        <f>IFERROR(VLOOKUP($A102,ITEM_MASTER!$A:$I,7,0),"?")</f>
        <v>Common</v>
      </c>
      <c r="H102" s="158" t="str">
        <f>IFERROR(VLOOKUP($A102,ITEM_MASTER!$A:$I,8,0),"?")</f>
        <v>unreleased</v>
      </c>
      <c r="I102" s="158" t="str">
        <f>IFERROR(VLOOKUP($A102,ITEM_MASTER!$A:$I,9,0),"?")</f>
        <v>Post-Race Rewards</v>
      </c>
      <c r="J102" s="158" t="str">
        <f>IFERROR(VLOOKUP($A102,ITEM_MASTER!$A:$J,10,0),"?")</f>
        <v/>
      </c>
      <c r="K102" s="158" t="str">
        <f>IFERROR(VLOOKUP($A102,ITEM_MASTER!$A:$K,11,0),"?")</f>
        <v/>
      </c>
      <c r="L102" s="158" t="b">
        <f>IFERROR(VLOOKUP($A102,ITEM_MASTER!$A:$N,12,0),"?")</f>
        <v>0</v>
      </c>
    </row>
    <row r="103">
      <c r="A103" s="157" t="s">
        <v>372</v>
      </c>
      <c r="B103" s="161" t="str">
        <f t="shared" si="1"/>
        <v>mat</v>
      </c>
      <c r="C103" s="162" t="s">
        <v>658</v>
      </c>
      <c r="D103" s="80" t="s">
        <v>649</v>
      </c>
      <c r="E103" s="160" t="str">
        <f>IFERROR(VLOOKUP(A103,ITEM_MASTER!$A:$E,4,0),"?")</f>
        <v>Metallic Wheel #2</v>
      </c>
      <c r="F103" s="160" t="str">
        <f>IFERROR(VLOOKUP(A103,ITEM_MASTER!$A:$E,5,0),"?")</f>
        <v>Mâm Kim Loại #2</v>
      </c>
      <c r="G103" s="158" t="str">
        <f>IFERROR(VLOOKUP($A103,ITEM_MASTER!$A:$I,7,0),"?")</f>
        <v>Common</v>
      </c>
      <c r="H103" s="158" t="str">
        <f>IFERROR(VLOOKUP($A103,ITEM_MASTER!$A:$I,8,0),"?")</f>
        <v>unreleased</v>
      </c>
      <c r="I103" s="158" t="str">
        <f>IFERROR(VLOOKUP($A103,ITEM_MASTER!$A:$I,9,0),"?")</f>
        <v>Post-Race Rewards</v>
      </c>
      <c r="J103" s="158" t="str">
        <f>IFERROR(VLOOKUP($A103,ITEM_MASTER!$A:$J,10,0),"?")</f>
        <v/>
      </c>
      <c r="K103" s="158" t="str">
        <f>IFERROR(VLOOKUP($A103,ITEM_MASTER!$A:$K,11,0),"?")</f>
        <v/>
      </c>
      <c r="L103" s="158" t="b">
        <f>IFERROR(VLOOKUP($A103,ITEM_MASTER!$A:$N,12,0),"?")</f>
        <v>0</v>
      </c>
    </row>
    <row r="104">
      <c r="A104" s="157" t="s">
        <v>375</v>
      </c>
      <c r="B104" s="161" t="str">
        <f t="shared" si="1"/>
        <v>mat</v>
      </c>
      <c r="C104" s="162" t="s">
        <v>658</v>
      </c>
      <c r="D104" s="80" t="s">
        <v>649</v>
      </c>
      <c r="E104" s="160" t="str">
        <f>IFERROR(VLOOKUP(A104,ITEM_MASTER!$A:$E,4,0),"?")</f>
        <v>Metallic Wheel #3</v>
      </c>
      <c r="F104" s="160" t="str">
        <f>IFERROR(VLOOKUP(A104,ITEM_MASTER!$A:$E,5,0),"?")</f>
        <v>Mâm Kim Loại #3</v>
      </c>
      <c r="G104" s="158" t="str">
        <f>IFERROR(VLOOKUP($A104,ITEM_MASTER!$A:$I,7,0),"?")</f>
        <v>Common</v>
      </c>
      <c r="H104" s="158" t="str">
        <f>IFERROR(VLOOKUP($A104,ITEM_MASTER!$A:$I,8,0),"?")</f>
        <v>unreleased</v>
      </c>
      <c r="I104" s="158" t="str">
        <f>IFERROR(VLOOKUP($A104,ITEM_MASTER!$A:$I,9,0),"?")</f>
        <v>Post-Race Rewards</v>
      </c>
      <c r="J104" s="158" t="str">
        <f>IFERROR(VLOOKUP($A104,ITEM_MASTER!$A:$J,10,0),"?")</f>
        <v/>
      </c>
      <c r="K104" s="158" t="str">
        <f>IFERROR(VLOOKUP($A104,ITEM_MASTER!$A:$K,11,0),"?")</f>
        <v/>
      </c>
      <c r="L104" s="158" t="b">
        <f>IFERROR(VLOOKUP($A104,ITEM_MASTER!$A:$N,12,0),"?")</f>
        <v>0</v>
      </c>
    </row>
    <row r="105">
      <c r="A105" s="157" t="s">
        <v>378</v>
      </c>
      <c r="B105" s="161" t="str">
        <f t="shared" si="1"/>
        <v>mat</v>
      </c>
      <c r="C105" s="162" t="s">
        <v>658</v>
      </c>
      <c r="D105" s="80" t="s">
        <v>649</v>
      </c>
      <c r="E105" s="160" t="str">
        <f>IFERROR(VLOOKUP(A105,ITEM_MASTER!$A:$E,4,0),"?")</f>
        <v>Pearlescent Wheel #1</v>
      </c>
      <c r="F105" s="160" t="str">
        <f>IFERROR(VLOOKUP(A105,ITEM_MASTER!$A:$E,5,0),"?")</f>
        <v>Mâm Pearlescent #1</v>
      </c>
      <c r="G105" s="158" t="str">
        <f>IFERROR(VLOOKUP($A105,ITEM_MASTER!$A:$I,7,0),"?")</f>
        <v>UnCommon</v>
      </c>
      <c r="H105" s="158" t="str">
        <f>IFERROR(VLOOKUP($A105,ITEM_MASTER!$A:$I,8,0),"?")</f>
        <v>unreleased</v>
      </c>
      <c r="I105" s="158" t="str">
        <f>IFERROR(VLOOKUP($A105,ITEM_MASTER!$A:$I,9,0),"?")</f>
        <v>Post-Race Rewards</v>
      </c>
      <c r="J105" s="158" t="str">
        <f>IFERROR(VLOOKUP($A105,ITEM_MASTER!$A:$J,10,0),"?")</f>
        <v/>
      </c>
      <c r="K105" s="158" t="str">
        <f>IFERROR(VLOOKUP($A105,ITEM_MASTER!$A:$K,11,0),"?")</f>
        <v/>
      </c>
      <c r="L105" s="158" t="b">
        <f>IFERROR(VLOOKUP($A105,ITEM_MASTER!$A:$N,12,0),"?")</f>
        <v>0</v>
      </c>
    </row>
    <row r="106">
      <c r="A106" s="157" t="s">
        <v>381</v>
      </c>
      <c r="B106" s="161" t="str">
        <f t="shared" si="1"/>
        <v>mat</v>
      </c>
      <c r="C106" s="162" t="s">
        <v>658</v>
      </c>
      <c r="D106" s="80" t="s">
        <v>649</v>
      </c>
      <c r="E106" s="160" t="str">
        <f>IFERROR(VLOOKUP(A106,ITEM_MASTER!$A:$E,4,0),"?")</f>
        <v>Pearlescent Wheel #2</v>
      </c>
      <c r="F106" s="160" t="str">
        <f>IFERROR(VLOOKUP(A106,ITEM_MASTER!$A:$E,5,0),"?")</f>
        <v>Mâm Pearlescent #2</v>
      </c>
      <c r="G106" s="158" t="str">
        <f>IFERROR(VLOOKUP($A106,ITEM_MASTER!$A:$I,7,0),"?")</f>
        <v>UnCommon</v>
      </c>
      <c r="H106" s="158" t="str">
        <f>IFERROR(VLOOKUP($A106,ITEM_MASTER!$A:$I,8,0),"?")</f>
        <v>unreleased</v>
      </c>
      <c r="I106" s="158" t="str">
        <f>IFERROR(VLOOKUP($A106,ITEM_MASTER!$A:$I,9,0),"?")</f>
        <v>Post-Race Rewards</v>
      </c>
      <c r="J106" s="158" t="str">
        <f>IFERROR(VLOOKUP($A106,ITEM_MASTER!$A:$J,10,0),"?")</f>
        <v/>
      </c>
      <c r="K106" s="158" t="str">
        <f>IFERROR(VLOOKUP($A106,ITEM_MASTER!$A:$K,11,0),"?")</f>
        <v/>
      </c>
      <c r="L106" s="158" t="b">
        <f>IFERROR(VLOOKUP($A106,ITEM_MASTER!$A:$N,12,0),"?")</f>
        <v>0</v>
      </c>
    </row>
    <row r="107">
      <c r="A107" s="157" t="s">
        <v>384</v>
      </c>
      <c r="B107" s="161" t="str">
        <f t="shared" si="1"/>
        <v>mat</v>
      </c>
      <c r="C107" s="162" t="s">
        <v>658</v>
      </c>
      <c r="D107" s="80" t="s">
        <v>649</v>
      </c>
      <c r="E107" s="160" t="str">
        <f>IFERROR(VLOOKUP(A107,ITEM_MASTER!$A:$E,4,0),"?")</f>
        <v>Pearlescent Wheel #3</v>
      </c>
      <c r="F107" s="160" t="str">
        <f>IFERROR(VLOOKUP(A107,ITEM_MASTER!$A:$E,5,0),"?")</f>
        <v>Mâm Pearlescent #3</v>
      </c>
      <c r="G107" s="158" t="str">
        <f>IFERROR(VLOOKUP($A107,ITEM_MASTER!$A:$I,7,0),"?")</f>
        <v>UnCommon</v>
      </c>
      <c r="H107" s="158" t="str">
        <f>IFERROR(VLOOKUP($A107,ITEM_MASTER!$A:$I,8,0),"?")</f>
        <v>unreleased</v>
      </c>
      <c r="I107" s="158" t="str">
        <f>IFERROR(VLOOKUP($A107,ITEM_MASTER!$A:$I,9,0),"?")</f>
        <v>Post-Race Rewards</v>
      </c>
      <c r="J107" s="158" t="str">
        <f>IFERROR(VLOOKUP($A107,ITEM_MASTER!$A:$J,10,0),"?")</f>
        <v/>
      </c>
      <c r="K107" s="158" t="str">
        <f>IFERROR(VLOOKUP($A107,ITEM_MASTER!$A:$K,11,0),"?")</f>
        <v/>
      </c>
      <c r="L107" s="158" t="b">
        <f>IFERROR(VLOOKUP($A107,ITEM_MASTER!$A:$N,12,0),"?")</f>
        <v>0</v>
      </c>
    </row>
    <row r="108" ht="15.75" customHeight="1">
      <c r="A108" s="157" t="s">
        <v>387</v>
      </c>
      <c r="B108" s="161" t="str">
        <f t="shared" si="1"/>
        <v>mat</v>
      </c>
      <c r="C108" s="162" t="s">
        <v>658</v>
      </c>
      <c r="D108" s="80" t="s">
        <v>649</v>
      </c>
      <c r="E108" s="160" t="str">
        <f>IFERROR(VLOOKUP(A108,ITEM_MASTER!$A:$E,4,0),"?")</f>
        <v>Chameleon Wheel #1</v>
      </c>
      <c r="F108" s="160" t="str">
        <f>IFERROR(VLOOKUP(A108,ITEM_MASTER!$A:$E,5,0),"?")</f>
        <v>Mâm Chameleon #1</v>
      </c>
      <c r="G108" s="158" t="str">
        <f>IFERROR(VLOOKUP($A108,ITEM_MASTER!$A:$I,7,0),"?")</f>
        <v>UnCommon</v>
      </c>
      <c r="H108" s="158" t="str">
        <f>IFERROR(VLOOKUP($A108,ITEM_MASTER!$A:$I,8,0),"?")</f>
        <v>unreleased</v>
      </c>
      <c r="I108" s="158" t="str">
        <f>IFERROR(VLOOKUP($A108,ITEM_MASTER!$A:$I,9,0),"?")</f>
        <v>Post-Race Rewards</v>
      </c>
      <c r="J108" s="158" t="str">
        <f>IFERROR(VLOOKUP($A108,ITEM_MASTER!$A:$J,10,0),"?")</f>
        <v/>
      </c>
      <c r="K108" s="158" t="str">
        <f>IFERROR(VLOOKUP($A108,ITEM_MASTER!$A:$K,11,0),"?")</f>
        <v/>
      </c>
      <c r="L108" s="158" t="b">
        <f>IFERROR(VLOOKUP($A108,ITEM_MASTER!$A:$N,12,0),"?")</f>
        <v>0</v>
      </c>
    </row>
    <row r="109" ht="15.75" customHeight="1">
      <c r="A109" s="157" t="s">
        <v>390</v>
      </c>
      <c r="B109" s="161" t="str">
        <f t="shared" si="1"/>
        <v>mat</v>
      </c>
      <c r="C109" s="162" t="s">
        <v>658</v>
      </c>
      <c r="D109" s="80" t="s">
        <v>649</v>
      </c>
      <c r="E109" s="160" t="str">
        <f>IFERROR(VLOOKUP(A109,ITEM_MASTER!$A:$E,4,0),"?")</f>
        <v>Chameleon Wheel #2</v>
      </c>
      <c r="F109" s="160" t="str">
        <f>IFERROR(VLOOKUP(A109,ITEM_MASTER!$A:$E,5,0),"?")</f>
        <v>Mâm Chameleon #2</v>
      </c>
      <c r="G109" s="158" t="str">
        <f>IFERROR(VLOOKUP($A109,ITEM_MASTER!$A:$I,7,0),"?")</f>
        <v>UnCommon</v>
      </c>
      <c r="H109" s="158" t="str">
        <f>IFERROR(VLOOKUP($A109,ITEM_MASTER!$A:$I,8,0),"?")</f>
        <v>unreleased</v>
      </c>
      <c r="I109" s="158" t="str">
        <f>IFERROR(VLOOKUP($A109,ITEM_MASTER!$A:$I,9,0),"?")</f>
        <v>Post-Race Rewards</v>
      </c>
      <c r="J109" s="158" t="str">
        <f>IFERROR(VLOOKUP($A109,ITEM_MASTER!$A:$J,10,0),"?")</f>
        <v/>
      </c>
      <c r="K109" s="158" t="str">
        <f>IFERROR(VLOOKUP($A109,ITEM_MASTER!$A:$K,11,0),"?")</f>
        <v/>
      </c>
      <c r="L109" s="158" t="b">
        <f>IFERROR(VLOOKUP($A109,ITEM_MASTER!$A:$N,12,0),"?")</f>
        <v>0</v>
      </c>
    </row>
    <row r="110" ht="15.75" customHeight="1">
      <c r="A110" s="157" t="s">
        <v>393</v>
      </c>
      <c r="B110" s="161" t="str">
        <f t="shared" si="1"/>
        <v>mat</v>
      </c>
      <c r="C110" s="162" t="s">
        <v>658</v>
      </c>
      <c r="D110" s="80" t="s">
        <v>649</v>
      </c>
      <c r="E110" s="160" t="str">
        <f>IFERROR(VLOOKUP(A110,ITEM_MASTER!$A:$E,4,0),"?")</f>
        <v>Chameleon Wheel #3</v>
      </c>
      <c r="F110" s="160" t="str">
        <f>IFERROR(VLOOKUP(A110,ITEM_MASTER!$A:$E,5,0),"?")</f>
        <v>Mâm Chameleon #3</v>
      </c>
      <c r="G110" s="158" t="str">
        <f>IFERROR(VLOOKUP($A110,ITEM_MASTER!$A:$I,7,0),"?")</f>
        <v>UnCommon</v>
      </c>
      <c r="H110" s="158" t="str">
        <f>IFERROR(VLOOKUP($A110,ITEM_MASTER!$A:$I,8,0),"?")</f>
        <v>unreleased</v>
      </c>
      <c r="I110" s="158" t="str">
        <f>IFERROR(VLOOKUP($A110,ITEM_MASTER!$A:$I,9,0),"?")</f>
        <v>Post-Race Rewards</v>
      </c>
      <c r="J110" s="158" t="str">
        <f>IFERROR(VLOOKUP($A110,ITEM_MASTER!$A:$J,10,0),"?")</f>
        <v/>
      </c>
      <c r="K110" s="158" t="str">
        <f>IFERROR(VLOOKUP($A110,ITEM_MASTER!$A:$K,11,0),"?")</f>
        <v/>
      </c>
      <c r="L110" s="158" t="b">
        <f>IFERROR(VLOOKUP($A110,ITEM_MASTER!$A:$N,12,0),"?")</f>
        <v>0</v>
      </c>
    </row>
    <row r="111" ht="15.75" customHeight="1">
      <c r="A111" s="157" t="s">
        <v>396</v>
      </c>
      <c r="B111" s="161" t="str">
        <f t="shared" si="1"/>
        <v>mat</v>
      </c>
      <c r="C111" s="162" t="s">
        <v>658</v>
      </c>
      <c r="D111" s="80" t="s">
        <v>655</v>
      </c>
      <c r="E111" s="160" t="str">
        <f>IFERROR(VLOOKUP(A111,ITEM_MASTER!$A:$E,4,0),"?")</f>
        <v>Metallic Wheel #1</v>
      </c>
      <c r="F111" s="160" t="str">
        <f>IFERROR(VLOOKUP(A111,ITEM_MASTER!$A:$E,5,0),"?")</f>
        <v>Mâm Kim Loại #1</v>
      </c>
      <c r="G111" s="158" t="str">
        <f>IFERROR(VLOOKUP($A111,ITEM_MASTER!$A:$I,7,0),"?")</f>
        <v>Common</v>
      </c>
      <c r="H111" s="158" t="str">
        <f>IFERROR(VLOOKUP($A111,ITEM_MASTER!$A:$I,8,0),"?")</f>
        <v>unreleased</v>
      </c>
      <c r="I111" s="158" t="str">
        <f>IFERROR(VLOOKUP($A111,ITEM_MASTER!$A:$I,9,0),"?")</f>
        <v>Post-Race Rewards</v>
      </c>
      <c r="J111" s="158" t="str">
        <f>IFERROR(VLOOKUP($A111,ITEM_MASTER!$A:$J,10,0),"?")</f>
        <v/>
      </c>
      <c r="K111" s="158" t="str">
        <f>IFERROR(VLOOKUP($A111,ITEM_MASTER!$A:$K,11,0),"?")</f>
        <v/>
      </c>
      <c r="L111" s="158" t="b">
        <f>IFERROR(VLOOKUP($A111,ITEM_MASTER!$A:$N,12,0),"?")</f>
        <v>0</v>
      </c>
    </row>
    <row r="112" ht="15.75" customHeight="1">
      <c r="A112" s="157" t="s">
        <v>397</v>
      </c>
      <c r="B112" s="161" t="str">
        <f t="shared" si="1"/>
        <v>mat</v>
      </c>
      <c r="C112" s="162" t="s">
        <v>658</v>
      </c>
      <c r="D112" s="80" t="s">
        <v>655</v>
      </c>
      <c r="E112" s="160" t="str">
        <f>IFERROR(VLOOKUP(A112,ITEM_MASTER!$A:$E,4,0),"?")</f>
        <v>Metallic Wheel #2</v>
      </c>
      <c r="F112" s="160" t="str">
        <f>IFERROR(VLOOKUP(A112,ITEM_MASTER!$A:$E,5,0),"?")</f>
        <v>Mâm Kim Loại #2</v>
      </c>
      <c r="G112" s="158" t="str">
        <f>IFERROR(VLOOKUP($A112,ITEM_MASTER!$A:$I,7,0),"?")</f>
        <v>Common</v>
      </c>
      <c r="H112" s="158" t="str">
        <f>IFERROR(VLOOKUP($A112,ITEM_MASTER!$A:$I,8,0),"?")</f>
        <v>unreleased</v>
      </c>
      <c r="I112" s="158" t="str">
        <f>IFERROR(VLOOKUP($A112,ITEM_MASTER!$A:$I,9,0),"?")</f>
        <v>Post-Race Rewards</v>
      </c>
      <c r="J112" s="158" t="str">
        <f>IFERROR(VLOOKUP($A112,ITEM_MASTER!$A:$J,10,0),"?")</f>
        <v/>
      </c>
      <c r="K112" s="158" t="str">
        <f>IFERROR(VLOOKUP($A112,ITEM_MASTER!$A:$K,11,0),"?")</f>
        <v/>
      </c>
      <c r="L112" s="158" t="b">
        <f>IFERROR(VLOOKUP($A112,ITEM_MASTER!$A:$N,12,0),"?")</f>
        <v>0</v>
      </c>
    </row>
    <row r="113" ht="15.75" customHeight="1">
      <c r="A113" s="157" t="s">
        <v>398</v>
      </c>
      <c r="B113" s="161" t="str">
        <f t="shared" si="1"/>
        <v>mat</v>
      </c>
      <c r="C113" s="162" t="s">
        <v>658</v>
      </c>
      <c r="D113" s="80" t="s">
        <v>655</v>
      </c>
      <c r="E113" s="160" t="str">
        <f>IFERROR(VLOOKUP(A113,ITEM_MASTER!$A:$E,4,0),"?")</f>
        <v>Metallic Wheel #3</v>
      </c>
      <c r="F113" s="160" t="str">
        <f>IFERROR(VLOOKUP(A113,ITEM_MASTER!$A:$E,5,0),"?")</f>
        <v>Mâm Kim Loại #3</v>
      </c>
      <c r="G113" s="158" t="str">
        <f>IFERROR(VLOOKUP($A113,ITEM_MASTER!$A:$I,7,0),"?")</f>
        <v>Common</v>
      </c>
      <c r="H113" s="158" t="str">
        <f>IFERROR(VLOOKUP($A113,ITEM_MASTER!$A:$I,8,0),"?")</f>
        <v>unreleased</v>
      </c>
      <c r="I113" s="158" t="str">
        <f>IFERROR(VLOOKUP($A113,ITEM_MASTER!$A:$I,9,0),"?")</f>
        <v>Post-Race Rewards</v>
      </c>
      <c r="J113" s="158" t="str">
        <f>IFERROR(VLOOKUP($A113,ITEM_MASTER!$A:$J,10,0),"?")</f>
        <v/>
      </c>
      <c r="K113" s="158" t="str">
        <f>IFERROR(VLOOKUP($A113,ITEM_MASTER!$A:$K,11,0),"?")</f>
        <v/>
      </c>
      <c r="L113" s="158" t="b">
        <f>IFERROR(VLOOKUP($A113,ITEM_MASTER!$A:$N,12,0),"?")</f>
        <v>0</v>
      </c>
    </row>
    <row r="114" ht="15.75" customHeight="1">
      <c r="A114" s="157" t="s">
        <v>399</v>
      </c>
      <c r="B114" s="161" t="str">
        <f t="shared" si="1"/>
        <v>mat</v>
      </c>
      <c r="C114" s="162" t="s">
        <v>658</v>
      </c>
      <c r="D114" s="80" t="s">
        <v>655</v>
      </c>
      <c r="E114" s="160" t="str">
        <f>IFERROR(VLOOKUP(A114,ITEM_MASTER!$A:$E,4,0),"?")</f>
        <v>Pearlescent Wheel #1</v>
      </c>
      <c r="F114" s="160" t="str">
        <f>IFERROR(VLOOKUP(A114,ITEM_MASTER!$A:$E,5,0),"?")</f>
        <v>Mâm Pearlescent #1</v>
      </c>
      <c r="G114" s="158" t="str">
        <f>IFERROR(VLOOKUP($A114,ITEM_MASTER!$A:$I,7,0),"?")</f>
        <v>UnCommon</v>
      </c>
      <c r="H114" s="158" t="str">
        <f>IFERROR(VLOOKUP($A114,ITEM_MASTER!$A:$I,8,0),"?")</f>
        <v>unreleased</v>
      </c>
      <c r="I114" s="158" t="str">
        <f>IFERROR(VLOOKUP($A114,ITEM_MASTER!$A:$I,9,0),"?")</f>
        <v>Post-Race Rewards</v>
      </c>
      <c r="J114" s="158" t="str">
        <f>IFERROR(VLOOKUP($A114,ITEM_MASTER!$A:$J,10,0),"?")</f>
        <v/>
      </c>
      <c r="K114" s="158" t="str">
        <f>IFERROR(VLOOKUP($A114,ITEM_MASTER!$A:$K,11,0),"?")</f>
        <v/>
      </c>
      <c r="L114" s="158" t="b">
        <f>IFERROR(VLOOKUP($A114,ITEM_MASTER!$A:$N,12,0),"?")</f>
        <v>0</v>
      </c>
    </row>
    <row r="115" ht="15.75" customHeight="1">
      <c r="A115" s="157" t="s">
        <v>400</v>
      </c>
      <c r="B115" s="161" t="str">
        <f t="shared" si="1"/>
        <v>mat</v>
      </c>
      <c r="C115" s="162" t="s">
        <v>658</v>
      </c>
      <c r="D115" s="80" t="s">
        <v>655</v>
      </c>
      <c r="E115" s="160" t="str">
        <f>IFERROR(VLOOKUP(A115,ITEM_MASTER!$A:$E,4,0),"?")</f>
        <v>Pearlescent Wheel #2</v>
      </c>
      <c r="F115" s="160" t="str">
        <f>IFERROR(VLOOKUP(A115,ITEM_MASTER!$A:$E,5,0),"?")</f>
        <v>Mâm Pearlescent #2</v>
      </c>
      <c r="G115" s="158" t="str">
        <f>IFERROR(VLOOKUP($A115,ITEM_MASTER!$A:$I,7,0),"?")</f>
        <v>UnCommon</v>
      </c>
      <c r="H115" s="158" t="str">
        <f>IFERROR(VLOOKUP($A115,ITEM_MASTER!$A:$I,8,0),"?")</f>
        <v>unreleased</v>
      </c>
      <c r="I115" s="158" t="str">
        <f>IFERROR(VLOOKUP($A115,ITEM_MASTER!$A:$I,9,0),"?")</f>
        <v>Post-Race Rewards</v>
      </c>
      <c r="J115" s="158" t="str">
        <f>IFERROR(VLOOKUP($A115,ITEM_MASTER!$A:$J,10,0),"?")</f>
        <v/>
      </c>
      <c r="K115" s="158" t="str">
        <f>IFERROR(VLOOKUP($A115,ITEM_MASTER!$A:$K,11,0),"?")</f>
        <v/>
      </c>
      <c r="L115" s="158" t="b">
        <f>IFERROR(VLOOKUP($A115,ITEM_MASTER!$A:$N,12,0),"?")</f>
        <v>0</v>
      </c>
    </row>
    <row r="116" ht="15.75" customHeight="1">
      <c r="A116" s="157" t="s">
        <v>401</v>
      </c>
      <c r="B116" s="161" t="str">
        <f t="shared" si="1"/>
        <v>mat</v>
      </c>
      <c r="C116" s="162" t="s">
        <v>658</v>
      </c>
      <c r="D116" s="80" t="s">
        <v>655</v>
      </c>
      <c r="E116" s="160" t="str">
        <f>IFERROR(VLOOKUP(A116,ITEM_MASTER!$A:$E,4,0),"?")</f>
        <v>Pearlescent Wheel #3</v>
      </c>
      <c r="F116" s="160" t="str">
        <f>IFERROR(VLOOKUP(A116,ITEM_MASTER!$A:$E,5,0),"?")</f>
        <v>Mâm Pearlescent #3</v>
      </c>
      <c r="G116" s="158" t="str">
        <f>IFERROR(VLOOKUP($A116,ITEM_MASTER!$A:$I,7,0),"?")</f>
        <v>UnCommon</v>
      </c>
      <c r="H116" s="158" t="str">
        <f>IFERROR(VLOOKUP($A116,ITEM_MASTER!$A:$I,8,0),"?")</f>
        <v>unreleased</v>
      </c>
      <c r="I116" s="158" t="str">
        <f>IFERROR(VLOOKUP($A116,ITEM_MASTER!$A:$I,9,0),"?")</f>
        <v>Post-Race Rewards</v>
      </c>
      <c r="J116" s="158" t="str">
        <f>IFERROR(VLOOKUP($A116,ITEM_MASTER!$A:$J,10,0),"?")</f>
        <v/>
      </c>
      <c r="K116" s="158" t="str">
        <f>IFERROR(VLOOKUP($A116,ITEM_MASTER!$A:$K,11,0),"?")</f>
        <v/>
      </c>
      <c r="L116" s="158" t="b">
        <f>IFERROR(VLOOKUP($A116,ITEM_MASTER!$A:$N,12,0),"?")</f>
        <v>0</v>
      </c>
    </row>
    <row r="117" ht="15.75" customHeight="1">
      <c r="A117" s="157" t="s">
        <v>402</v>
      </c>
      <c r="B117" s="161" t="str">
        <f t="shared" si="1"/>
        <v>mat</v>
      </c>
      <c r="C117" s="162" t="s">
        <v>658</v>
      </c>
      <c r="D117" s="80" t="s">
        <v>655</v>
      </c>
      <c r="E117" s="160" t="str">
        <f>IFERROR(VLOOKUP(A117,ITEM_MASTER!$A:$E,4,0),"?")</f>
        <v>Chameleon Wheel #1</v>
      </c>
      <c r="F117" s="160" t="str">
        <f>IFERROR(VLOOKUP(A117,ITEM_MASTER!$A:$E,5,0),"?")</f>
        <v>Mâm Chameleon #1</v>
      </c>
      <c r="G117" s="158" t="str">
        <f>IFERROR(VLOOKUP($A117,ITEM_MASTER!$A:$I,7,0),"?")</f>
        <v>UnCommon</v>
      </c>
      <c r="H117" s="158" t="str">
        <f>IFERROR(VLOOKUP($A117,ITEM_MASTER!$A:$I,8,0),"?")</f>
        <v>unreleased</v>
      </c>
      <c r="I117" s="158" t="str">
        <f>IFERROR(VLOOKUP($A117,ITEM_MASTER!$A:$I,9,0),"?")</f>
        <v>Post-Race Rewards</v>
      </c>
      <c r="J117" s="158" t="str">
        <f>IFERROR(VLOOKUP($A117,ITEM_MASTER!$A:$J,10,0),"?")</f>
        <v/>
      </c>
      <c r="K117" s="158" t="str">
        <f>IFERROR(VLOOKUP($A117,ITEM_MASTER!$A:$K,11,0),"?")</f>
        <v/>
      </c>
      <c r="L117" s="158" t="b">
        <f>IFERROR(VLOOKUP($A117,ITEM_MASTER!$A:$N,12,0),"?")</f>
        <v>0</v>
      </c>
    </row>
    <row r="118" ht="15.75" customHeight="1">
      <c r="A118" s="157" t="s">
        <v>403</v>
      </c>
      <c r="B118" s="161" t="str">
        <f t="shared" si="1"/>
        <v>mat</v>
      </c>
      <c r="C118" s="162" t="s">
        <v>658</v>
      </c>
      <c r="D118" s="80" t="s">
        <v>655</v>
      </c>
      <c r="E118" s="160" t="str">
        <f>IFERROR(VLOOKUP(A118,ITEM_MASTER!$A:$E,4,0),"?")</f>
        <v>Chameleon Wheel #2</v>
      </c>
      <c r="F118" s="160" t="str">
        <f>IFERROR(VLOOKUP(A118,ITEM_MASTER!$A:$E,5,0),"?")</f>
        <v>Mâm Chameleon #2</v>
      </c>
      <c r="G118" s="158" t="str">
        <f>IFERROR(VLOOKUP($A118,ITEM_MASTER!$A:$I,7,0),"?")</f>
        <v>UnCommon</v>
      </c>
      <c r="H118" s="158" t="str">
        <f>IFERROR(VLOOKUP($A118,ITEM_MASTER!$A:$I,8,0),"?")</f>
        <v>unreleased</v>
      </c>
      <c r="I118" s="158" t="str">
        <f>IFERROR(VLOOKUP($A118,ITEM_MASTER!$A:$I,9,0),"?")</f>
        <v>Post-Race Rewards</v>
      </c>
      <c r="J118" s="158" t="str">
        <f>IFERROR(VLOOKUP($A118,ITEM_MASTER!$A:$J,10,0),"?")</f>
        <v/>
      </c>
      <c r="K118" s="158" t="str">
        <f>IFERROR(VLOOKUP($A118,ITEM_MASTER!$A:$K,11,0),"?")</f>
        <v/>
      </c>
      <c r="L118" s="158" t="b">
        <f>IFERROR(VLOOKUP($A118,ITEM_MASTER!$A:$N,12,0),"?")</f>
        <v>0</v>
      </c>
    </row>
    <row r="119" ht="15.75" customHeight="1">
      <c r="A119" s="157" t="s">
        <v>404</v>
      </c>
      <c r="B119" s="161" t="str">
        <f t="shared" si="1"/>
        <v>mat</v>
      </c>
      <c r="C119" s="162" t="s">
        <v>658</v>
      </c>
      <c r="D119" s="80" t="s">
        <v>655</v>
      </c>
      <c r="E119" s="160" t="str">
        <f>IFERROR(VLOOKUP(A119,ITEM_MASTER!$A:$E,4,0),"?")</f>
        <v>Chameleon Wheel #3</v>
      </c>
      <c r="F119" s="160" t="str">
        <f>IFERROR(VLOOKUP(A119,ITEM_MASTER!$A:$E,5,0),"?")</f>
        <v>Mâm Chameleon #3</v>
      </c>
      <c r="G119" s="158" t="str">
        <f>IFERROR(VLOOKUP($A119,ITEM_MASTER!$A:$I,7,0),"?")</f>
        <v>UnCommon</v>
      </c>
      <c r="H119" s="158" t="str">
        <f>IFERROR(VLOOKUP($A119,ITEM_MASTER!$A:$I,8,0),"?")</f>
        <v>unreleased</v>
      </c>
      <c r="I119" s="158" t="str">
        <f>IFERROR(VLOOKUP($A119,ITEM_MASTER!$A:$I,9,0),"?")</f>
        <v>Post-Race Rewards</v>
      </c>
      <c r="J119" s="158" t="str">
        <f>IFERROR(VLOOKUP($A119,ITEM_MASTER!$A:$J,10,0),"?")</f>
        <v/>
      </c>
      <c r="K119" s="158" t="str">
        <f>IFERROR(VLOOKUP($A119,ITEM_MASTER!$A:$K,11,0),"?")</f>
        <v/>
      </c>
      <c r="L119" s="158" t="b">
        <f>IFERROR(VLOOKUP($A119,ITEM_MASTER!$A:$N,12,0),"?")</f>
        <v>0</v>
      </c>
    </row>
    <row r="120" ht="15.75" customHeight="1">
      <c r="A120" s="157" t="s">
        <v>405</v>
      </c>
      <c r="B120" s="161" t="str">
        <f t="shared" si="1"/>
        <v>mat</v>
      </c>
      <c r="C120" s="162" t="s">
        <v>658</v>
      </c>
      <c r="D120" s="163" t="s">
        <v>656</v>
      </c>
      <c r="E120" s="160" t="str">
        <f>IFERROR(VLOOKUP(A120,ITEM_MASTER!$A:$E,4,0),"?")</f>
        <v>Metallic Wheel #1</v>
      </c>
      <c r="F120" s="160" t="str">
        <f>IFERROR(VLOOKUP(A120,ITEM_MASTER!$A:$E,5,0),"?")</f>
        <v>Mâm Kim Loại #1</v>
      </c>
      <c r="G120" s="158" t="str">
        <f>IFERROR(VLOOKUP($A120,ITEM_MASTER!$A:$I,7,0),"?")</f>
        <v>Common</v>
      </c>
      <c r="H120" s="158" t="str">
        <f>IFERROR(VLOOKUP($A120,ITEM_MASTER!$A:$I,8,0),"?")</f>
        <v>unreleased</v>
      </c>
      <c r="I120" s="158" t="str">
        <f>IFERROR(VLOOKUP($A120,ITEM_MASTER!$A:$I,9,0),"?")</f>
        <v>Post-Race Rewards</v>
      </c>
      <c r="J120" s="158" t="str">
        <f>IFERROR(VLOOKUP($A120,ITEM_MASTER!$A:$J,10,0),"?")</f>
        <v/>
      </c>
      <c r="K120" s="158" t="str">
        <f>IFERROR(VLOOKUP($A120,ITEM_MASTER!$A:$K,11,0),"?")</f>
        <v/>
      </c>
      <c r="L120" s="158" t="b">
        <f>IFERROR(VLOOKUP($A120,ITEM_MASTER!$A:$N,12,0),"?")</f>
        <v>0</v>
      </c>
    </row>
    <row r="121" ht="15.75" customHeight="1">
      <c r="A121" s="157" t="s">
        <v>406</v>
      </c>
      <c r="B121" s="161" t="str">
        <f t="shared" si="1"/>
        <v>mat</v>
      </c>
      <c r="C121" s="162" t="s">
        <v>658</v>
      </c>
      <c r="D121" s="163" t="s">
        <v>656</v>
      </c>
      <c r="E121" s="160" t="str">
        <f>IFERROR(VLOOKUP(A121,ITEM_MASTER!$A:$E,4,0),"?")</f>
        <v>Metallic Wheel #2</v>
      </c>
      <c r="F121" s="160" t="str">
        <f>IFERROR(VLOOKUP(A121,ITEM_MASTER!$A:$E,5,0),"?")</f>
        <v>Mâm Kim Loại #2</v>
      </c>
      <c r="G121" s="158" t="str">
        <f>IFERROR(VLOOKUP($A121,ITEM_MASTER!$A:$I,7,0),"?")</f>
        <v>Common</v>
      </c>
      <c r="H121" s="158" t="str">
        <f>IFERROR(VLOOKUP($A121,ITEM_MASTER!$A:$I,8,0),"?")</f>
        <v>unreleased</v>
      </c>
      <c r="I121" s="158" t="str">
        <f>IFERROR(VLOOKUP($A121,ITEM_MASTER!$A:$I,9,0),"?")</f>
        <v>Post-Race Rewards</v>
      </c>
      <c r="J121" s="158" t="str">
        <f>IFERROR(VLOOKUP($A121,ITEM_MASTER!$A:$J,10,0),"?")</f>
        <v/>
      </c>
      <c r="K121" s="158" t="str">
        <f>IFERROR(VLOOKUP($A121,ITEM_MASTER!$A:$K,11,0),"?")</f>
        <v/>
      </c>
      <c r="L121" s="158" t="b">
        <f>IFERROR(VLOOKUP($A121,ITEM_MASTER!$A:$N,12,0),"?")</f>
        <v>0</v>
      </c>
    </row>
    <row r="122" ht="15.75" customHeight="1">
      <c r="A122" s="157" t="s">
        <v>407</v>
      </c>
      <c r="B122" s="161" t="str">
        <f t="shared" si="1"/>
        <v>mat</v>
      </c>
      <c r="C122" s="162" t="s">
        <v>658</v>
      </c>
      <c r="D122" s="163" t="s">
        <v>656</v>
      </c>
      <c r="E122" s="160" t="str">
        <f>IFERROR(VLOOKUP(A122,ITEM_MASTER!$A:$E,4,0),"?")</f>
        <v>Metallic Wheel #3</v>
      </c>
      <c r="F122" s="160" t="str">
        <f>IFERROR(VLOOKUP(A122,ITEM_MASTER!$A:$E,5,0),"?")</f>
        <v>Mâm Kim Loại #3</v>
      </c>
      <c r="G122" s="158" t="str">
        <f>IFERROR(VLOOKUP($A122,ITEM_MASTER!$A:$I,7,0),"?")</f>
        <v>Common</v>
      </c>
      <c r="H122" s="158" t="str">
        <f>IFERROR(VLOOKUP($A122,ITEM_MASTER!$A:$I,8,0),"?")</f>
        <v>unreleased</v>
      </c>
      <c r="I122" s="158" t="str">
        <f>IFERROR(VLOOKUP($A122,ITEM_MASTER!$A:$I,9,0),"?")</f>
        <v>Post-Race Rewards</v>
      </c>
      <c r="J122" s="158" t="str">
        <f>IFERROR(VLOOKUP($A122,ITEM_MASTER!$A:$J,10,0),"?")</f>
        <v/>
      </c>
      <c r="K122" s="158" t="str">
        <f>IFERROR(VLOOKUP($A122,ITEM_MASTER!$A:$K,11,0),"?")</f>
        <v/>
      </c>
      <c r="L122" s="158" t="b">
        <f>IFERROR(VLOOKUP($A122,ITEM_MASTER!$A:$N,12,0),"?")</f>
        <v>0</v>
      </c>
    </row>
    <row r="123" ht="15.75" customHeight="1">
      <c r="A123" s="157" t="s">
        <v>408</v>
      </c>
      <c r="B123" s="161" t="str">
        <f t="shared" si="1"/>
        <v>mat</v>
      </c>
      <c r="C123" s="162" t="s">
        <v>658</v>
      </c>
      <c r="D123" s="163" t="s">
        <v>656</v>
      </c>
      <c r="E123" s="160" t="str">
        <f>IFERROR(VLOOKUP(A123,ITEM_MASTER!$A:$E,4,0),"?")</f>
        <v>Pearlescent Wheel #1</v>
      </c>
      <c r="F123" s="160" t="str">
        <f>IFERROR(VLOOKUP(A123,ITEM_MASTER!$A:$E,5,0),"?")</f>
        <v>Mâm Pearlescent #1</v>
      </c>
      <c r="G123" s="158" t="str">
        <f>IFERROR(VLOOKUP($A123,ITEM_MASTER!$A:$I,7,0),"?")</f>
        <v>UnCommon</v>
      </c>
      <c r="H123" s="158" t="str">
        <f>IFERROR(VLOOKUP($A123,ITEM_MASTER!$A:$I,8,0),"?")</f>
        <v>unreleased</v>
      </c>
      <c r="I123" s="158" t="str">
        <f>IFERROR(VLOOKUP($A123,ITEM_MASTER!$A:$I,9,0),"?")</f>
        <v>Post-Race Rewards</v>
      </c>
      <c r="J123" s="158" t="str">
        <f>IFERROR(VLOOKUP($A123,ITEM_MASTER!$A:$J,10,0),"?")</f>
        <v/>
      </c>
      <c r="K123" s="158" t="str">
        <f>IFERROR(VLOOKUP($A123,ITEM_MASTER!$A:$K,11,0),"?")</f>
        <v/>
      </c>
      <c r="L123" s="158" t="b">
        <f>IFERROR(VLOOKUP($A123,ITEM_MASTER!$A:$N,12,0),"?")</f>
        <v>0</v>
      </c>
    </row>
    <row r="124" ht="15.75" customHeight="1">
      <c r="A124" s="157" t="s">
        <v>409</v>
      </c>
      <c r="B124" s="161" t="str">
        <f t="shared" si="1"/>
        <v>mat</v>
      </c>
      <c r="C124" s="162" t="s">
        <v>658</v>
      </c>
      <c r="D124" s="163" t="s">
        <v>656</v>
      </c>
      <c r="E124" s="160" t="str">
        <f>IFERROR(VLOOKUP(A124,ITEM_MASTER!$A:$E,4,0),"?")</f>
        <v>Pearlescent Wheel #2</v>
      </c>
      <c r="F124" s="160" t="str">
        <f>IFERROR(VLOOKUP(A124,ITEM_MASTER!$A:$E,5,0),"?")</f>
        <v>Mâm Pearlescent #2</v>
      </c>
      <c r="G124" s="158" t="str">
        <f>IFERROR(VLOOKUP($A124,ITEM_MASTER!$A:$I,7,0),"?")</f>
        <v>UnCommon</v>
      </c>
      <c r="H124" s="158" t="str">
        <f>IFERROR(VLOOKUP($A124,ITEM_MASTER!$A:$I,8,0),"?")</f>
        <v>unreleased</v>
      </c>
      <c r="I124" s="158" t="str">
        <f>IFERROR(VLOOKUP($A124,ITEM_MASTER!$A:$I,9,0),"?")</f>
        <v>Post-Race Rewards</v>
      </c>
      <c r="J124" s="158" t="str">
        <f>IFERROR(VLOOKUP($A124,ITEM_MASTER!$A:$J,10,0),"?")</f>
        <v/>
      </c>
      <c r="K124" s="158" t="str">
        <f>IFERROR(VLOOKUP($A124,ITEM_MASTER!$A:$K,11,0),"?")</f>
        <v/>
      </c>
      <c r="L124" s="158" t="b">
        <f>IFERROR(VLOOKUP($A124,ITEM_MASTER!$A:$N,12,0),"?")</f>
        <v>0</v>
      </c>
    </row>
    <row r="125" ht="15.75" customHeight="1">
      <c r="A125" s="157" t="s">
        <v>410</v>
      </c>
      <c r="B125" s="161" t="str">
        <f t="shared" si="1"/>
        <v>mat</v>
      </c>
      <c r="C125" s="162" t="s">
        <v>658</v>
      </c>
      <c r="D125" s="163" t="s">
        <v>656</v>
      </c>
      <c r="E125" s="160" t="str">
        <f>IFERROR(VLOOKUP(A125,ITEM_MASTER!$A:$E,4,0),"?")</f>
        <v>Pearlescent Wheel #3</v>
      </c>
      <c r="F125" s="160" t="str">
        <f>IFERROR(VLOOKUP(A125,ITEM_MASTER!$A:$E,5,0),"?")</f>
        <v>Mâm Pearlescent #3</v>
      </c>
      <c r="G125" s="158" t="str">
        <f>IFERROR(VLOOKUP($A125,ITEM_MASTER!$A:$I,7,0),"?")</f>
        <v>UnCommon</v>
      </c>
      <c r="H125" s="158" t="str">
        <f>IFERROR(VLOOKUP($A125,ITEM_MASTER!$A:$I,8,0),"?")</f>
        <v>unreleased</v>
      </c>
      <c r="I125" s="158" t="str">
        <f>IFERROR(VLOOKUP($A125,ITEM_MASTER!$A:$I,9,0),"?")</f>
        <v>Post-Race Rewards</v>
      </c>
      <c r="J125" s="158" t="str">
        <f>IFERROR(VLOOKUP($A125,ITEM_MASTER!$A:$J,10,0),"?")</f>
        <v/>
      </c>
      <c r="K125" s="158" t="str">
        <f>IFERROR(VLOOKUP($A125,ITEM_MASTER!$A:$K,11,0),"?")</f>
        <v/>
      </c>
      <c r="L125" s="158" t="b">
        <f>IFERROR(VLOOKUP($A125,ITEM_MASTER!$A:$N,12,0),"?")</f>
        <v>0</v>
      </c>
    </row>
    <row r="126" ht="15.75" customHeight="1">
      <c r="A126" s="157" t="s">
        <v>411</v>
      </c>
      <c r="B126" s="161" t="str">
        <f t="shared" si="1"/>
        <v>mat</v>
      </c>
      <c r="C126" s="162" t="s">
        <v>658</v>
      </c>
      <c r="D126" s="163" t="s">
        <v>656</v>
      </c>
      <c r="E126" s="160" t="str">
        <f>IFERROR(VLOOKUP(A126,ITEM_MASTER!$A:$E,4,0),"?")</f>
        <v>Chameleon Wheel #1</v>
      </c>
      <c r="F126" s="160" t="str">
        <f>IFERROR(VLOOKUP(A126,ITEM_MASTER!$A:$E,5,0),"?")</f>
        <v>Mâm Chameleon #1</v>
      </c>
      <c r="G126" s="158" t="str">
        <f>IFERROR(VLOOKUP($A126,ITEM_MASTER!$A:$I,7,0),"?")</f>
        <v>UnCommon</v>
      </c>
      <c r="H126" s="158" t="str">
        <f>IFERROR(VLOOKUP($A126,ITEM_MASTER!$A:$I,8,0),"?")</f>
        <v>unreleased</v>
      </c>
      <c r="I126" s="158" t="str">
        <f>IFERROR(VLOOKUP($A126,ITEM_MASTER!$A:$I,9,0),"?")</f>
        <v>Post-Race Rewards</v>
      </c>
      <c r="J126" s="158" t="str">
        <f>IFERROR(VLOOKUP($A126,ITEM_MASTER!$A:$J,10,0),"?")</f>
        <v/>
      </c>
      <c r="K126" s="158" t="str">
        <f>IFERROR(VLOOKUP($A126,ITEM_MASTER!$A:$K,11,0),"?")</f>
        <v/>
      </c>
      <c r="L126" s="158" t="b">
        <f>IFERROR(VLOOKUP($A126,ITEM_MASTER!$A:$N,12,0),"?")</f>
        <v>0</v>
      </c>
    </row>
    <row r="127" ht="15.75" customHeight="1">
      <c r="A127" s="157" t="s">
        <v>412</v>
      </c>
      <c r="B127" s="161" t="str">
        <f t="shared" si="1"/>
        <v>mat</v>
      </c>
      <c r="C127" s="162" t="s">
        <v>658</v>
      </c>
      <c r="D127" s="163" t="s">
        <v>656</v>
      </c>
      <c r="E127" s="160" t="str">
        <f>IFERROR(VLOOKUP(A127,ITEM_MASTER!$A:$E,4,0),"?")</f>
        <v>Chameleon Wheel #2</v>
      </c>
      <c r="F127" s="160" t="str">
        <f>IFERROR(VLOOKUP(A127,ITEM_MASTER!$A:$E,5,0),"?")</f>
        <v>Mâm Chameleon #2</v>
      </c>
      <c r="G127" s="158" t="str">
        <f>IFERROR(VLOOKUP($A127,ITEM_MASTER!$A:$I,7,0),"?")</f>
        <v>UnCommon</v>
      </c>
      <c r="H127" s="158" t="str">
        <f>IFERROR(VLOOKUP($A127,ITEM_MASTER!$A:$I,8,0),"?")</f>
        <v>unreleased</v>
      </c>
      <c r="I127" s="158" t="str">
        <f>IFERROR(VLOOKUP($A127,ITEM_MASTER!$A:$I,9,0),"?")</f>
        <v>Post-Race Rewards</v>
      </c>
      <c r="J127" s="158" t="str">
        <f>IFERROR(VLOOKUP($A127,ITEM_MASTER!$A:$J,10,0),"?")</f>
        <v/>
      </c>
      <c r="K127" s="158" t="str">
        <f>IFERROR(VLOOKUP($A127,ITEM_MASTER!$A:$K,11,0),"?")</f>
        <v/>
      </c>
      <c r="L127" s="158" t="b">
        <f>IFERROR(VLOOKUP($A127,ITEM_MASTER!$A:$N,12,0),"?")</f>
        <v>0</v>
      </c>
    </row>
    <row r="128" ht="15.75" customHeight="1">
      <c r="A128" s="157" t="s">
        <v>413</v>
      </c>
      <c r="B128" s="161" t="str">
        <f t="shared" si="1"/>
        <v>mat</v>
      </c>
      <c r="C128" s="162" t="s">
        <v>658</v>
      </c>
      <c r="D128" s="163" t="s">
        <v>656</v>
      </c>
      <c r="E128" s="160" t="str">
        <f>IFERROR(VLOOKUP(A128,ITEM_MASTER!$A:$E,4,0),"?")</f>
        <v>Chameleon Wheel #3</v>
      </c>
      <c r="F128" s="160" t="str">
        <f>IFERROR(VLOOKUP(A128,ITEM_MASTER!$A:$E,5,0),"?")</f>
        <v>Mâm Chameleon #3</v>
      </c>
      <c r="G128" s="158" t="str">
        <f>IFERROR(VLOOKUP($A128,ITEM_MASTER!$A:$I,7,0),"?")</f>
        <v>UnCommon</v>
      </c>
      <c r="H128" s="158" t="str">
        <f>IFERROR(VLOOKUP($A128,ITEM_MASTER!$A:$I,8,0),"?")</f>
        <v>unreleased</v>
      </c>
      <c r="I128" s="158" t="str">
        <f>IFERROR(VLOOKUP($A128,ITEM_MASTER!$A:$I,9,0),"?")</f>
        <v>Post-Race Rewards</v>
      </c>
      <c r="J128" s="158" t="str">
        <f>IFERROR(VLOOKUP($A128,ITEM_MASTER!$A:$J,10,0),"?")</f>
        <v/>
      </c>
      <c r="K128" s="158" t="str">
        <f>IFERROR(VLOOKUP($A128,ITEM_MASTER!$A:$K,11,0),"?")</f>
        <v/>
      </c>
      <c r="L128" s="158" t="b">
        <f>IFERROR(VLOOKUP($A128,ITEM_MASTER!$A:$N,12,0),"?")</f>
        <v>0</v>
      </c>
    </row>
    <row r="129" ht="15.75" customHeight="1">
      <c r="A129" s="157" t="s">
        <v>414</v>
      </c>
      <c r="B129" s="161" t="str">
        <f t="shared" si="1"/>
        <v>dec</v>
      </c>
      <c r="C129" s="162" t="s">
        <v>549</v>
      </c>
      <c r="D129" s="80" t="s">
        <v>649</v>
      </c>
      <c r="E129" s="160" t="str">
        <f>IFERROR(VLOOKUP(A129,ITEM_MASTER!$A:$E,4,0),"?")</f>
        <v>Stripe Line</v>
      </c>
      <c r="F129" s="160" t="str">
        <f>IFERROR(VLOOKUP(A129,ITEM_MASTER!$A:$E,5,0),"?")</f>
        <v>Sọc Stripe</v>
      </c>
      <c r="G129" s="158" t="str">
        <f>IFERROR(VLOOKUP($A129,ITEM_MASTER!$A:$I,7,0),"?")</f>
        <v>Common</v>
      </c>
      <c r="H129" s="158" t="str">
        <f>IFERROR(VLOOKUP($A129,ITEM_MASTER!$A:$I,8,0),"?")</f>
        <v>unreleased</v>
      </c>
      <c r="I129" s="158" t="str">
        <f>IFERROR(VLOOKUP($A129,ITEM_MASTER!$A:$I,9,0),"?")</f>
        <v>Post-Race Rewards</v>
      </c>
      <c r="J129" s="158" t="str">
        <f>IFERROR(VLOOKUP($A129,ITEM_MASTER!$A:$J,10,0),"?")</f>
        <v>-</v>
      </c>
      <c r="K129" s="158" t="str">
        <f>IFERROR(VLOOKUP($A129,ITEM_MASTER!$A:$K,11,0),"?")</f>
        <v>/Content/UI/Thumbnail_Folder/Customize_Skin/NoChange.uasset</v>
      </c>
      <c r="L129" s="158" t="b">
        <f>IFERROR(VLOOKUP($A129,ITEM_MASTER!$A:$N,12,0),"?")</f>
        <v>0</v>
      </c>
    </row>
    <row r="130" ht="15.75" customHeight="1">
      <c r="A130" s="157" t="s">
        <v>421</v>
      </c>
      <c r="B130" s="161" t="str">
        <f t="shared" si="1"/>
        <v>dec</v>
      </c>
      <c r="C130" s="162" t="s">
        <v>549</v>
      </c>
      <c r="D130" s="80" t="s">
        <v>649</v>
      </c>
      <c r="E130" s="160" t="str">
        <f>IFERROR(VLOOKUP(A130,ITEM_MASTER!$A:$E,4,0),"?")</f>
        <v>Logo Sponsorship</v>
      </c>
      <c r="F130" s="160" t="str">
        <f>IFERROR(VLOOKUP(A130,ITEM_MASTER!$A:$E,5,0),"?")</f>
        <v>Logo Tài Trợ</v>
      </c>
      <c r="G130" s="158" t="str">
        <f>IFERROR(VLOOKUP($A130,ITEM_MASTER!$A:$I,7,0),"?")</f>
        <v>Common</v>
      </c>
      <c r="H130" s="158" t="str">
        <f>IFERROR(VLOOKUP($A130,ITEM_MASTER!$A:$I,8,0),"?")</f>
        <v>unreleased</v>
      </c>
      <c r="I130" s="158" t="str">
        <f>IFERROR(VLOOKUP($A130,ITEM_MASTER!$A:$I,9,0),"?")</f>
        <v>Post-Race Rewards</v>
      </c>
      <c r="J130" s="158" t="str">
        <f>IFERROR(VLOOKUP($A130,ITEM_MASTER!$A:$J,10,0),"?")</f>
        <v>-</v>
      </c>
      <c r="K130" s="158" t="str">
        <f>IFERROR(VLOOKUP($A130,ITEM_MASTER!$A:$K,11,0),"?")</f>
        <v>/Content/UI/Thumbnail_Folder/Customize_Skin/NoChange.uasset</v>
      </c>
      <c r="L130" s="158" t="b">
        <f>IFERROR(VLOOKUP($A130,ITEM_MASTER!$A:$N,12,0),"?")</f>
        <v>0</v>
      </c>
    </row>
    <row r="131" ht="15.75" customHeight="1">
      <c r="A131" s="157" t="s">
        <v>425</v>
      </c>
      <c r="B131" s="161" t="str">
        <f t="shared" si="1"/>
        <v>dec</v>
      </c>
      <c r="C131" s="162" t="s">
        <v>549</v>
      </c>
      <c r="D131" s="80" t="s">
        <v>649</v>
      </c>
      <c r="E131" s="160" t="str">
        <f>IFERROR(VLOOKUP(A131,ITEM_MASTER!$A:$E,4,0),"?")</f>
        <v>Graphic Theme</v>
      </c>
      <c r="F131" s="160" t="str">
        <f>IFERROR(VLOOKUP(A131,ITEM_MASTER!$A:$E,5,0),"?")</f>
        <v>Họa Tiết Graphic</v>
      </c>
      <c r="G131" s="158" t="str">
        <f>IFERROR(VLOOKUP($A131,ITEM_MASTER!$A:$I,7,0),"?")</f>
        <v>Common</v>
      </c>
      <c r="H131" s="158" t="str">
        <f>IFERROR(VLOOKUP($A131,ITEM_MASTER!$A:$I,8,0),"?")</f>
        <v>unreleased</v>
      </c>
      <c r="I131" s="158" t="str">
        <f>IFERROR(VLOOKUP($A131,ITEM_MASTER!$A:$I,9,0),"?")</f>
        <v>Post-Race Rewards</v>
      </c>
      <c r="J131" s="158" t="str">
        <f>IFERROR(VLOOKUP($A131,ITEM_MASTER!$A:$J,10,0),"?")</f>
        <v>-</v>
      </c>
      <c r="K131" s="158" t="str">
        <f>IFERROR(VLOOKUP($A131,ITEM_MASTER!$A:$K,11,0),"?")</f>
        <v>/Content/UI/Thumbnail_Folder/Customize_Skin/NoChange.uasset</v>
      </c>
      <c r="L131" s="158" t="b">
        <f>IFERROR(VLOOKUP($A131,ITEM_MASTER!$A:$N,12,0),"?")</f>
        <v>0</v>
      </c>
    </row>
    <row r="132" ht="15.75" customHeight="1">
      <c r="A132" s="157" t="s">
        <v>428</v>
      </c>
      <c r="B132" s="161" t="str">
        <f t="shared" si="1"/>
        <v>dec</v>
      </c>
      <c r="C132" s="162" t="s">
        <v>549</v>
      </c>
      <c r="D132" s="80" t="s">
        <v>649</v>
      </c>
      <c r="E132" s="160" t="str">
        <f>IFERROR(VLOOKUP(A132,ITEM_MASTER!$A:$E,4,0),"?")</f>
        <v>Wraps</v>
      </c>
      <c r="F132" s="160" t="str">
        <f>IFERROR(VLOOKUP(A132,ITEM_MASTER!$A:$E,5,0),"?")</f>
        <v>Decal Phủ </v>
      </c>
      <c r="G132" s="158" t="str">
        <f>IFERROR(VLOOKUP($A132,ITEM_MASTER!$A:$I,7,0),"?")</f>
        <v>UnCommon</v>
      </c>
      <c r="H132" s="158" t="str">
        <f>IFERROR(VLOOKUP($A132,ITEM_MASTER!$A:$I,8,0),"?")</f>
        <v>unreleased</v>
      </c>
      <c r="I132" s="158" t="str">
        <f>IFERROR(VLOOKUP($A132,ITEM_MASTER!$A:$I,9,0),"?")</f>
        <v>Post-Race Rewards</v>
      </c>
      <c r="J132" s="158" t="str">
        <f>IFERROR(VLOOKUP($A132,ITEM_MASTER!$A:$J,10,0),"?")</f>
        <v>-</v>
      </c>
      <c r="K132" s="158" t="str">
        <f>IFERROR(VLOOKUP($A132,ITEM_MASTER!$A:$K,11,0),"?")</f>
        <v>/Content/UI/Thumbnail_Folder/Customize_Skin/NoChange.uasset</v>
      </c>
      <c r="L132" s="158" t="b">
        <f>IFERROR(VLOOKUP($A132,ITEM_MASTER!$A:$N,12,0),"?")</f>
        <v>0</v>
      </c>
    </row>
    <row r="133" ht="15.75" customHeight="1">
      <c r="A133" s="157" t="s">
        <v>431</v>
      </c>
      <c r="B133" s="161" t="str">
        <f t="shared" si="1"/>
        <v>dec</v>
      </c>
      <c r="C133" s="162" t="s">
        <v>549</v>
      </c>
      <c r="D133" s="80" t="s">
        <v>655</v>
      </c>
      <c r="E133" s="160" t="str">
        <f>IFERROR(VLOOKUP(A133,ITEM_MASTER!$A:$E,4,0),"?")</f>
        <v>Stripe Line</v>
      </c>
      <c r="F133" s="160" t="str">
        <f>IFERROR(VLOOKUP(A133,ITEM_MASTER!$A:$E,5,0),"?")</f>
        <v>Sọc Stripe</v>
      </c>
      <c r="G133" s="158" t="str">
        <f>IFERROR(VLOOKUP($A133,ITEM_MASTER!$A:$I,7,0),"?")</f>
        <v>UnCommon</v>
      </c>
      <c r="H133" s="158" t="str">
        <f>IFERROR(VLOOKUP($A133,ITEM_MASTER!$A:$I,8,0),"?")</f>
        <v>unreleased</v>
      </c>
      <c r="I133" s="158" t="str">
        <f>IFERROR(VLOOKUP($A133,ITEM_MASTER!$A:$I,9,0),"?")</f>
        <v>Post-Race Rewards</v>
      </c>
      <c r="J133" s="158" t="str">
        <f>IFERROR(VLOOKUP($A133,ITEM_MASTER!$A:$J,10,0),"?")</f>
        <v>-</v>
      </c>
      <c r="K133" s="158" t="str">
        <f>IFERROR(VLOOKUP($A133,ITEM_MASTER!$A:$K,11,0),"?")</f>
        <v>/Content/UI/Thumbnail_Folder/Customize_Skin/NoChange.uasset</v>
      </c>
      <c r="L133" s="158" t="b">
        <f>IFERROR(VLOOKUP($A133,ITEM_MASTER!$A:$N,12,0),"?")</f>
        <v>0</v>
      </c>
    </row>
    <row r="134" ht="15.75" customHeight="1">
      <c r="A134" s="157" t="s">
        <v>432</v>
      </c>
      <c r="B134" s="161" t="str">
        <f t="shared" si="1"/>
        <v>dec</v>
      </c>
      <c r="C134" s="162" t="s">
        <v>549</v>
      </c>
      <c r="D134" s="80" t="s">
        <v>655</v>
      </c>
      <c r="E134" s="160" t="str">
        <f>IFERROR(VLOOKUP(A134,ITEM_MASTER!$A:$E,4,0),"?")</f>
        <v>Logo Sponsorship</v>
      </c>
      <c r="F134" s="160" t="str">
        <f>IFERROR(VLOOKUP(A134,ITEM_MASTER!$A:$E,5,0),"?")</f>
        <v>Logo Tài Trợ</v>
      </c>
      <c r="G134" s="158" t="str">
        <f>IFERROR(VLOOKUP($A134,ITEM_MASTER!$A:$I,7,0),"?")</f>
        <v>Common</v>
      </c>
      <c r="H134" s="158" t="str">
        <f>IFERROR(VLOOKUP($A134,ITEM_MASTER!$A:$I,8,0),"?")</f>
        <v>unreleased</v>
      </c>
      <c r="I134" s="158" t="str">
        <f>IFERROR(VLOOKUP($A134,ITEM_MASTER!$A:$I,9,0),"?")</f>
        <v>Post-Race Rewards</v>
      </c>
      <c r="J134" s="158" t="str">
        <f>IFERROR(VLOOKUP($A134,ITEM_MASTER!$A:$J,10,0),"?")</f>
        <v>-</v>
      </c>
      <c r="K134" s="158" t="str">
        <f>IFERROR(VLOOKUP($A134,ITEM_MASTER!$A:$K,11,0),"?")</f>
        <v>/Content/UI/Thumbnail_Folder/Customize_Skin/NoChange.uasset</v>
      </c>
      <c r="L134" s="158" t="b">
        <f>IFERROR(VLOOKUP($A134,ITEM_MASTER!$A:$N,12,0),"?")</f>
        <v>0</v>
      </c>
    </row>
    <row r="135" ht="15.75" customHeight="1">
      <c r="A135" s="157" t="s">
        <v>433</v>
      </c>
      <c r="B135" s="161" t="str">
        <f t="shared" si="1"/>
        <v>dec</v>
      </c>
      <c r="C135" s="162" t="s">
        <v>549</v>
      </c>
      <c r="D135" s="80" t="s">
        <v>655</v>
      </c>
      <c r="E135" s="160" t="str">
        <f>IFERROR(VLOOKUP(A135,ITEM_MASTER!$A:$E,4,0),"?")</f>
        <v>Graphic Theme</v>
      </c>
      <c r="F135" s="160" t="str">
        <f>IFERROR(VLOOKUP(A135,ITEM_MASTER!$A:$E,5,0),"?")</f>
        <v>Họa Tiết Graphic</v>
      </c>
      <c r="G135" s="158" t="str">
        <f>IFERROR(VLOOKUP($A135,ITEM_MASTER!$A:$I,7,0),"?")</f>
        <v>Common</v>
      </c>
      <c r="H135" s="158" t="str">
        <f>IFERROR(VLOOKUP($A135,ITEM_MASTER!$A:$I,8,0),"?")</f>
        <v>unreleased</v>
      </c>
      <c r="I135" s="158" t="str">
        <f>IFERROR(VLOOKUP($A135,ITEM_MASTER!$A:$I,9,0),"?")</f>
        <v>Post-Race Rewards</v>
      </c>
      <c r="J135" s="158" t="str">
        <f>IFERROR(VLOOKUP($A135,ITEM_MASTER!$A:$J,10,0),"?")</f>
        <v>-</v>
      </c>
      <c r="K135" s="158" t="str">
        <f>IFERROR(VLOOKUP($A135,ITEM_MASTER!$A:$K,11,0),"?")</f>
        <v>/Content/UI/Thumbnail_Folder/Customize_Skin/NoChange.uasset</v>
      </c>
      <c r="L135" s="158" t="b">
        <f>IFERROR(VLOOKUP($A135,ITEM_MASTER!$A:$N,12,0),"?")</f>
        <v>0</v>
      </c>
    </row>
    <row r="136" ht="15.75" customHeight="1">
      <c r="A136" s="157" t="s">
        <v>434</v>
      </c>
      <c r="B136" s="161" t="str">
        <f t="shared" si="1"/>
        <v>dec</v>
      </c>
      <c r="C136" s="162" t="s">
        <v>549</v>
      </c>
      <c r="D136" s="80" t="s">
        <v>655</v>
      </c>
      <c r="E136" s="160" t="str">
        <f>IFERROR(VLOOKUP(A136,ITEM_MASTER!$A:$E,4,0),"?")</f>
        <v>Wraps</v>
      </c>
      <c r="F136" s="160" t="str">
        <f>IFERROR(VLOOKUP(A136,ITEM_MASTER!$A:$E,5,0),"?")</f>
        <v>Decal Phủ </v>
      </c>
      <c r="G136" s="158" t="str">
        <f>IFERROR(VLOOKUP($A136,ITEM_MASTER!$A:$I,7,0),"?")</f>
        <v>Common</v>
      </c>
      <c r="H136" s="158" t="str">
        <f>IFERROR(VLOOKUP($A136,ITEM_MASTER!$A:$I,8,0),"?")</f>
        <v>unreleased</v>
      </c>
      <c r="I136" s="158" t="str">
        <f>IFERROR(VLOOKUP($A136,ITEM_MASTER!$A:$I,9,0),"?")</f>
        <v>Post-Race Rewards</v>
      </c>
      <c r="J136" s="158" t="str">
        <f>IFERROR(VLOOKUP($A136,ITEM_MASTER!$A:$J,10,0),"?")</f>
        <v>-</v>
      </c>
      <c r="K136" s="158" t="str">
        <f>IFERROR(VLOOKUP($A136,ITEM_MASTER!$A:$K,11,0),"?")</f>
        <v>/Content/UI/Thumbnail_Folder/Customize_Skin/NoChange.uasset</v>
      </c>
      <c r="L136" s="158" t="b">
        <f>IFERROR(VLOOKUP($A136,ITEM_MASTER!$A:$N,12,0),"?")</f>
        <v>0</v>
      </c>
    </row>
    <row r="137" ht="15.75" customHeight="1">
      <c r="A137" s="157" t="s">
        <v>435</v>
      </c>
      <c r="B137" s="161" t="str">
        <f t="shared" si="1"/>
        <v>dec</v>
      </c>
      <c r="C137" s="162" t="s">
        <v>549</v>
      </c>
      <c r="D137" s="80" t="s">
        <v>656</v>
      </c>
      <c r="E137" s="160" t="str">
        <f>IFERROR(VLOOKUP(A137,ITEM_MASTER!$A:$E,4,0),"?")</f>
        <v>Stripe Line</v>
      </c>
      <c r="F137" s="160" t="str">
        <f>IFERROR(VLOOKUP(A137,ITEM_MASTER!$A:$E,5,0),"?")</f>
        <v>Sọc Stripe</v>
      </c>
      <c r="G137" s="158" t="str">
        <f>IFERROR(VLOOKUP($A137,ITEM_MASTER!$A:$I,7,0),"?")</f>
        <v>UnCommon</v>
      </c>
      <c r="H137" s="158" t="str">
        <f>IFERROR(VLOOKUP($A137,ITEM_MASTER!$A:$I,8,0),"?")</f>
        <v>unreleased</v>
      </c>
      <c r="I137" s="158" t="str">
        <f>IFERROR(VLOOKUP($A137,ITEM_MASTER!$A:$I,9,0),"?")</f>
        <v>Post-Race Rewards</v>
      </c>
      <c r="J137" s="158" t="str">
        <f>IFERROR(VLOOKUP($A137,ITEM_MASTER!$A:$J,10,0),"?")</f>
        <v>-</v>
      </c>
      <c r="K137" s="158" t="str">
        <f>IFERROR(VLOOKUP($A137,ITEM_MASTER!$A:$K,11,0),"?")</f>
        <v>/Content/UI/Thumbnail_Folder/Customize_Skin/NoChange.uasset</v>
      </c>
      <c r="L137" s="158" t="b">
        <f>IFERROR(VLOOKUP($A137,ITEM_MASTER!$A:$N,12,0),"?")</f>
        <v>0</v>
      </c>
    </row>
    <row r="138" ht="15.75" customHeight="1">
      <c r="A138" s="157" t="s">
        <v>436</v>
      </c>
      <c r="B138" s="161" t="str">
        <f t="shared" si="1"/>
        <v>dec</v>
      </c>
      <c r="C138" s="162" t="s">
        <v>549</v>
      </c>
      <c r="D138" s="80" t="s">
        <v>656</v>
      </c>
      <c r="E138" s="160" t="str">
        <f>IFERROR(VLOOKUP(A138,ITEM_MASTER!$A:$E,4,0),"?")</f>
        <v>Logo Sponsorship</v>
      </c>
      <c r="F138" s="160" t="str">
        <f>IFERROR(VLOOKUP(A138,ITEM_MASTER!$A:$E,5,0),"?")</f>
        <v>Logo Tài Trợ</v>
      </c>
      <c r="G138" s="158" t="str">
        <f>IFERROR(VLOOKUP($A138,ITEM_MASTER!$A:$I,7,0),"?")</f>
        <v>UnCommon</v>
      </c>
      <c r="H138" s="158" t="str">
        <f>IFERROR(VLOOKUP($A138,ITEM_MASTER!$A:$I,8,0),"?")</f>
        <v>unreleased</v>
      </c>
      <c r="I138" s="158" t="str">
        <f>IFERROR(VLOOKUP($A138,ITEM_MASTER!$A:$I,9,0),"?")</f>
        <v>Post-Race Rewards</v>
      </c>
      <c r="J138" s="158" t="str">
        <f>IFERROR(VLOOKUP($A138,ITEM_MASTER!$A:$J,10,0),"?")</f>
        <v>-</v>
      </c>
      <c r="K138" s="158" t="str">
        <f>IFERROR(VLOOKUP($A138,ITEM_MASTER!$A:$K,11,0),"?")</f>
        <v>/Content/UI/Thumbnail_Folder/Customize_Skin/NoChange.uasset</v>
      </c>
      <c r="L138" s="158" t="b">
        <f>IFERROR(VLOOKUP($A138,ITEM_MASTER!$A:$N,12,0),"?")</f>
        <v>0</v>
      </c>
    </row>
    <row r="139" ht="15.75" customHeight="1">
      <c r="A139" s="157" t="s">
        <v>437</v>
      </c>
      <c r="B139" s="161" t="str">
        <f t="shared" si="1"/>
        <v>dec</v>
      </c>
      <c r="C139" s="162" t="s">
        <v>549</v>
      </c>
      <c r="D139" s="80" t="s">
        <v>656</v>
      </c>
      <c r="E139" s="160" t="str">
        <f>IFERROR(VLOOKUP(A139,ITEM_MASTER!$A:$E,4,0),"?")</f>
        <v>Graphic Theme</v>
      </c>
      <c r="F139" s="160" t="str">
        <f>IFERROR(VLOOKUP(A139,ITEM_MASTER!$A:$E,5,0),"?")</f>
        <v>Họa Tiết Graphic</v>
      </c>
      <c r="G139" s="158" t="str">
        <f>IFERROR(VLOOKUP($A139,ITEM_MASTER!$A:$I,7,0),"?")</f>
        <v>Common</v>
      </c>
      <c r="H139" s="158" t="str">
        <f>IFERROR(VLOOKUP($A139,ITEM_MASTER!$A:$I,8,0),"?")</f>
        <v>unreleased</v>
      </c>
      <c r="I139" s="158" t="str">
        <f>IFERROR(VLOOKUP($A139,ITEM_MASTER!$A:$I,9,0),"?")</f>
        <v>Post-Race Rewards</v>
      </c>
      <c r="J139" s="158" t="str">
        <f>IFERROR(VLOOKUP($A139,ITEM_MASTER!$A:$J,10,0),"?")</f>
        <v>-</v>
      </c>
      <c r="K139" s="158" t="str">
        <f>IFERROR(VLOOKUP($A139,ITEM_MASTER!$A:$K,11,0),"?")</f>
        <v>/Content/UI/Thumbnail_Folder/Customize_Skin/NoChange.uasset</v>
      </c>
      <c r="L139" s="158" t="b">
        <f>IFERROR(VLOOKUP($A139,ITEM_MASTER!$A:$N,12,0),"?")</f>
        <v>0</v>
      </c>
    </row>
    <row r="140" ht="15.75" customHeight="1">
      <c r="A140" s="157" t="s">
        <v>438</v>
      </c>
      <c r="B140" s="161" t="str">
        <f t="shared" si="1"/>
        <v>dec</v>
      </c>
      <c r="C140" s="162" t="s">
        <v>549</v>
      </c>
      <c r="D140" s="80" t="s">
        <v>656</v>
      </c>
      <c r="E140" s="160" t="str">
        <f>IFERROR(VLOOKUP(A140,ITEM_MASTER!$A:$E,4,0),"?")</f>
        <v>Wraps</v>
      </c>
      <c r="F140" s="160" t="str">
        <f>IFERROR(VLOOKUP(A140,ITEM_MASTER!$A:$E,5,0),"?")</f>
        <v>Decal Phủ </v>
      </c>
      <c r="G140" s="158" t="str">
        <f>IFERROR(VLOOKUP($A140,ITEM_MASTER!$A:$I,7,0),"?")</f>
        <v>Common</v>
      </c>
      <c r="H140" s="158" t="str">
        <f>IFERROR(VLOOKUP($A140,ITEM_MASTER!$A:$I,8,0),"?")</f>
        <v>unreleased</v>
      </c>
      <c r="I140" s="158" t="str">
        <f>IFERROR(VLOOKUP($A140,ITEM_MASTER!$A:$I,9,0),"?")</f>
        <v>Post-Race Rewards</v>
      </c>
      <c r="J140" s="158" t="str">
        <f>IFERROR(VLOOKUP($A140,ITEM_MASTER!$A:$J,10,0),"?")</f>
        <v>-</v>
      </c>
      <c r="K140" s="158" t="str">
        <f>IFERROR(VLOOKUP($A140,ITEM_MASTER!$A:$K,11,0),"?")</f>
        <v>/Content/UI/Thumbnail_Folder/Customize_Skin/NoChange.uasset</v>
      </c>
      <c r="L140" s="158" t="b">
        <f>IFERROR(VLOOKUP($A140,ITEM_MASTER!$A:$N,12,0),"?")</f>
        <v>0</v>
      </c>
    </row>
    <row r="141" ht="15.75" customHeight="1">
      <c r="A141" s="164" t="s">
        <v>439</v>
      </c>
      <c r="B141" s="146"/>
      <c r="C141" s="165" t="s">
        <v>549</v>
      </c>
      <c r="D141" s="101"/>
      <c r="E141" s="160" t="str">
        <f>IFERROR(VLOOKUP(A141,ITEM_MASTER!$A:$E,4,0),"?")</f>
        <v>Wraps</v>
      </c>
      <c r="F141" s="160" t="str">
        <f>IFERROR(VLOOKUP(A141,ITEM_MASTER!$A:$E,5,0),"?")</f>
        <v>Decal Phủ 2</v>
      </c>
      <c r="G141" s="158" t="str">
        <f>IFERROR(VLOOKUP($A141,ITEM_MASTER!$A:$I,7,0),"?")</f>
        <v>Common</v>
      </c>
      <c r="H141" s="158" t="str">
        <f>IFERROR(VLOOKUP($A141,ITEM_MASTER!$A:$I,8,0),"?")</f>
        <v>unreleased</v>
      </c>
      <c r="I141" s="158" t="str">
        <f>IFERROR(VLOOKUP($A141,ITEM_MASTER!$A:$I,9,0),"?")</f>
        <v>Post-Race Rewards</v>
      </c>
      <c r="J141" s="158" t="str">
        <f>IFERROR(VLOOKUP($A141,ITEM_MASTER!$A:$J,10,0),"?")</f>
        <v>-</v>
      </c>
      <c r="K141" s="158" t="str">
        <f>IFERROR(VLOOKUP($A141,ITEM_MASTER!$A:$K,11,0),"?")</f>
        <v>/Content/UI/Thumbnail_Folder/Customize_Skin/NoChange.uasset</v>
      </c>
      <c r="L141" s="158" t="b">
        <f>IFERROR(VLOOKUP($A141,ITEM_MASTER!$A:$N,12,0),"?")</f>
        <v>0</v>
      </c>
    </row>
    <row r="142" ht="15.75" customHeight="1">
      <c r="A142" s="164" t="s">
        <v>441</v>
      </c>
      <c r="B142" s="146"/>
      <c r="C142" s="80" t="s">
        <v>648</v>
      </c>
      <c r="D142" s="80" t="s">
        <v>649</v>
      </c>
      <c r="E142" s="160" t="str">
        <f>IFERROR(VLOOKUP(A142,ITEM_MASTER!$A:$E,4,0),"?")</f>
        <v>Front Bumper Signature</v>
      </c>
      <c r="F142" s="160" t="str">
        <f>IFERROR(VLOOKUP(A142,ITEM_MASTER!$A:$E,5,0),"?")</f>
        <v>Cản Trước Đặc Trưng</v>
      </c>
      <c r="G142" s="158" t="str">
        <f>IFERROR(VLOOKUP($A142,ITEM_MASTER!$A:$I,7,0),"?")</f>
        <v>Rare</v>
      </c>
      <c r="H142" s="158" t="str">
        <f>IFERROR(VLOOKUP($A142,ITEM_MASTER!$A:$I,8,0),"?")</f>
        <v>unreleased</v>
      </c>
      <c r="I142" s="158" t="str">
        <f>IFERROR(VLOOKUP($A142,ITEM_MASTER!$A:$I,9,0),"?")</f>
        <v>Shop Purchase</v>
      </c>
      <c r="J142" s="158" t="str">
        <f>IFERROR(VLOOKUP($A142,ITEM_MASTER!$A:$J,10,0),"?")</f>
        <v/>
      </c>
      <c r="K142" s="158" t="str">
        <f>IFERROR(VLOOKUP($A142,ITEM_MASTER!$A:$K,11,0),"?")</f>
        <v/>
      </c>
      <c r="L142" s="158" t="b">
        <f>IFERROR(VLOOKUP($A142,ITEM_MASTER!$A:$N,12,0),"?")</f>
        <v>1</v>
      </c>
    </row>
    <row r="143" ht="15.75" customHeight="1">
      <c r="A143" s="164" t="s">
        <v>445</v>
      </c>
      <c r="B143" s="146"/>
      <c r="C143" s="159" t="s">
        <v>650</v>
      </c>
      <c r="D143" s="80" t="s">
        <v>649</v>
      </c>
      <c r="E143" s="160" t="str">
        <f>IFERROR(VLOOKUP(A143,ITEM_MASTER!$A:$E,4,0),"?")</f>
        <v>Rear Bumper Signature</v>
      </c>
      <c r="F143" s="160" t="str">
        <f>IFERROR(VLOOKUP(A143,ITEM_MASTER!$A:$E,5,0),"?")</f>
        <v>Cản Sau Đặc Trưng</v>
      </c>
      <c r="G143" s="158" t="str">
        <f>IFERROR(VLOOKUP($A143,ITEM_MASTER!$A:$I,7,0),"?")</f>
        <v>Rare</v>
      </c>
      <c r="H143" s="158" t="str">
        <f>IFERROR(VLOOKUP($A143,ITEM_MASTER!$A:$I,8,0),"?")</f>
        <v>unreleased</v>
      </c>
      <c r="I143" s="158" t="str">
        <f>IFERROR(VLOOKUP($A143,ITEM_MASTER!$A:$I,9,0),"?")</f>
        <v>Shop Purchase</v>
      </c>
      <c r="J143" s="158" t="str">
        <f>IFERROR(VLOOKUP($A143,ITEM_MASTER!$A:$J,10,0),"?")</f>
        <v/>
      </c>
      <c r="K143" s="158" t="str">
        <f>IFERROR(VLOOKUP($A143,ITEM_MASTER!$A:$K,11,0),"?")</f>
        <v/>
      </c>
      <c r="L143" s="158" t="b">
        <f>IFERROR(VLOOKUP($A143,ITEM_MASTER!$A:$N,12,0),"?")</f>
        <v>1</v>
      </c>
    </row>
    <row r="144" ht="15.75" customHeight="1">
      <c r="A144" s="164" t="s">
        <v>448</v>
      </c>
      <c r="B144" s="146"/>
      <c r="C144" s="80" t="s">
        <v>651</v>
      </c>
      <c r="D144" s="80" t="s">
        <v>649</v>
      </c>
      <c r="E144" s="160" t="str">
        <f>IFERROR(VLOOKUP(A144,ITEM_MASTER!$A:$E,4,0),"?")</f>
        <v>Spoiler Signature</v>
      </c>
      <c r="F144" s="160" t="str">
        <f>IFERROR(VLOOKUP(A144,ITEM_MASTER!$A:$E,5,0),"?")</f>
        <v>Cánh Gió Đặc Trưng</v>
      </c>
      <c r="G144" s="158" t="str">
        <f>IFERROR(VLOOKUP($A144,ITEM_MASTER!$A:$I,7,0),"?")</f>
        <v>Rare</v>
      </c>
      <c r="H144" s="158" t="str">
        <f>IFERROR(VLOOKUP($A144,ITEM_MASTER!$A:$I,8,0),"?")</f>
        <v>unreleased</v>
      </c>
      <c r="I144" s="158" t="str">
        <f>IFERROR(VLOOKUP($A144,ITEM_MASTER!$A:$I,9,0),"?")</f>
        <v>Shop Purchase</v>
      </c>
      <c r="J144" s="158" t="str">
        <f>IFERROR(VLOOKUP($A144,ITEM_MASTER!$A:$J,10,0),"?")</f>
        <v/>
      </c>
      <c r="K144" s="158" t="str">
        <f>IFERROR(VLOOKUP($A144,ITEM_MASTER!$A:$K,11,0),"?")</f>
        <v/>
      </c>
      <c r="L144" s="158" t="b">
        <f>IFERROR(VLOOKUP($A144,ITEM_MASTER!$A:$N,12,0),"?")</f>
        <v>1</v>
      </c>
    </row>
    <row r="145" ht="15.75" customHeight="1">
      <c r="A145" s="164" t="s">
        <v>451</v>
      </c>
      <c r="B145" s="146"/>
      <c r="C145" s="159" t="s">
        <v>652</v>
      </c>
      <c r="D145" s="80" t="s">
        <v>649</v>
      </c>
      <c r="E145" s="160" t="str">
        <f>IFERROR(VLOOKUP(A145,ITEM_MASTER!$A:$E,4,0),"?")</f>
        <v>Roof Panel Signature</v>
      </c>
      <c r="F145" s="160" t="str">
        <f>IFERROR(VLOOKUP(A145,ITEM_MASTER!$A:$E,5,0),"?")</f>
        <v>Nóc Xe Đặc Trưng</v>
      </c>
      <c r="G145" s="158" t="str">
        <f>IFERROR(VLOOKUP($A145,ITEM_MASTER!$A:$I,7,0),"?")</f>
        <v>Rare</v>
      </c>
      <c r="H145" s="158" t="str">
        <f>IFERROR(VLOOKUP($A145,ITEM_MASTER!$A:$I,8,0),"?")</f>
        <v>unreleased</v>
      </c>
      <c r="I145" s="158" t="str">
        <f>IFERROR(VLOOKUP($A145,ITEM_MASTER!$A:$I,9,0),"?")</f>
        <v>Shop Purchase</v>
      </c>
      <c r="J145" s="158" t="str">
        <f>IFERROR(VLOOKUP($A145,ITEM_MASTER!$A:$J,10,0),"?")</f>
        <v/>
      </c>
      <c r="K145" s="158" t="str">
        <f>IFERROR(VLOOKUP($A145,ITEM_MASTER!$A:$K,11,0),"?")</f>
        <v/>
      </c>
      <c r="L145" s="158" t="b">
        <f>IFERROR(VLOOKUP($A145,ITEM_MASTER!$A:$N,12,0),"?")</f>
        <v>1</v>
      </c>
    </row>
    <row r="146" ht="15.75" customHeight="1">
      <c r="A146" s="164" t="s">
        <v>454</v>
      </c>
      <c r="B146" s="146"/>
      <c r="C146" s="80" t="s">
        <v>653</v>
      </c>
      <c r="D146" s="80" t="s">
        <v>649</v>
      </c>
      <c r="E146" s="160" t="str">
        <f>IFERROR(VLOOKUP(A146,ITEM_MASTER!$A:$E,4,0),"?")</f>
        <v>Wheel Signature</v>
      </c>
      <c r="F146" s="160" t="str">
        <f>IFERROR(VLOOKUP(A146,ITEM_MASTER!$A:$E,5,0),"?")</f>
        <v>Mâm Đặc Trưng</v>
      </c>
      <c r="G146" s="158" t="str">
        <f>IFERROR(VLOOKUP($A146,ITEM_MASTER!$A:$I,7,0),"?")</f>
        <v>Rare</v>
      </c>
      <c r="H146" s="158" t="str">
        <f>IFERROR(VLOOKUP($A146,ITEM_MASTER!$A:$I,8,0),"?")</f>
        <v>unreleased</v>
      </c>
      <c r="I146" s="158" t="str">
        <f>IFERROR(VLOOKUP($A146,ITEM_MASTER!$A:$I,9,0),"?")</f>
        <v>Shop Purchase</v>
      </c>
      <c r="J146" s="158" t="str">
        <f>IFERROR(VLOOKUP($A146,ITEM_MASTER!$A:$J,10,0),"?")</f>
        <v/>
      </c>
      <c r="K146" s="158" t="str">
        <f>IFERROR(VLOOKUP($A146,ITEM_MASTER!$A:$K,11,0),"?")</f>
        <v/>
      </c>
      <c r="L146" s="158" t="b">
        <f>IFERROR(VLOOKUP($A146,ITEM_MASTER!$A:$N,12,0),"?")</f>
        <v>1</v>
      </c>
    </row>
    <row r="147" ht="15.75" customHeight="1">
      <c r="A147" s="164" t="s">
        <v>457</v>
      </c>
      <c r="B147" s="146"/>
      <c r="C147" s="159" t="s">
        <v>654</v>
      </c>
      <c r="D147" s="80" t="s">
        <v>649</v>
      </c>
      <c r="E147" s="160" t="str">
        <f>IFERROR(VLOOKUP(A147,ITEM_MASTER!$A:$E,4,0),"?")</f>
        <v>Side Skirt Signature</v>
      </c>
      <c r="F147" s="160" t="str">
        <f>IFERROR(VLOOKUP(A147,ITEM_MASTER!$A:$E,5,0),"?")</f>
        <v>Ốp Sườn Đặc Trưng</v>
      </c>
      <c r="G147" s="158" t="str">
        <f>IFERROR(VLOOKUP($A147,ITEM_MASTER!$A:$I,7,0),"?")</f>
        <v>Rare</v>
      </c>
      <c r="H147" s="158" t="str">
        <f>IFERROR(VLOOKUP($A147,ITEM_MASTER!$A:$I,8,0),"?")</f>
        <v>unreleased</v>
      </c>
      <c r="I147" s="158" t="str">
        <f>IFERROR(VLOOKUP($A147,ITEM_MASTER!$A:$I,9,0),"?")</f>
        <v>Shop Purchase</v>
      </c>
      <c r="J147" s="158" t="str">
        <f>IFERROR(VLOOKUP($A147,ITEM_MASTER!$A:$J,10,0),"?")</f>
        <v/>
      </c>
      <c r="K147" s="158" t="str">
        <f>IFERROR(VLOOKUP($A147,ITEM_MASTER!$A:$K,11,0),"?")</f>
        <v/>
      </c>
      <c r="L147" s="158" t="b">
        <f>IFERROR(VLOOKUP($A147,ITEM_MASTER!$A:$N,12,0),"?")</f>
        <v>1</v>
      </c>
    </row>
    <row r="148" ht="15.75" customHeight="1">
      <c r="A148" s="164" t="s">
        <v>460</v>
      </c>
      <c r="B148" s="146"/>
      <c r="C148" s="80" t="s">
        <v>648</v>
      </c>
      <c r="D148" s="80" t="s">
        <v>655</v>
      </c>
      <c r="E148" s="160" t="str">
        <f>IFERROR(VLOOKUP(A148,ITEM_MASTER!$A:$E,4,0),"?")</f>
        <v>Front Bumper Signature</v>
      </c>
      <c r="F148" s="160" t="str">
        <f>IFERROR(VLOOKUP(A148,ITEM_MASTER!$A:$E,5,0),"?")</f>
        <v>Cản Trước Đặc Trưng</v>
      </c>
      <c r="G148" s="158" t="str">
        <f>IFERROR(VLOOKUP($A148,ITEM_MASTER!$A:$I,7,0),"?")</f>
        <v>Rare</v>
      </c>
      <c r="H148" s="158" t="str">
        <f>IFERROR(VLOOKUP($A148,ITEM_MASTER!$A:$I,8,0),"?")</f>
        <v>unreleased</v>
      </c>
      <c r="I148" s="158" t="str">
        <f>IFERROR(VLOOKUP($A148,ITEM_MASTER!$A:$I,9,0),"?")</f>
        <v>Shop Purchase</v>
      </c>
      <c r="J148" s="158" t="str">
        <f>IFERROR(VLOOKUP($A148,ITEM_MASTER!$A:$J,10,0),"?")</f>
        <v/>
      </c>
      <c r="K148" s="158" t="str">
        <f>IFERROR(VLOOKUP($A148,ITEM_MASTER!$A:$K,11,0),"?")</f>
        <v/>
      </c>
      <c r="L148" s="158" t="b">
        <f>IFERROR(VLOOKUP($A148,ITEM_MASTER!$A:$N,12,0),"?")</f>
        <v>1</v>
      </c>
    </row>
    <row r="149" ht="15.75" customHeight="1">
      <c r="A149" s="164" t="s">
        <v>461</v>
      </c>
      <c r="B149" s="146"/>
      <c r="C149" s="159" t="s">
        <v>650</v>
      </c>
      <c r="D149" s="80" t="s">
        <v>655</v>
      </c>
      <c r="E149" s="160" t="str">
        <f>IFERROR(VLOOKUP(A149,ITEM_MASTER!$A:$E,4,0),"?")</f>
        <v>Rear Bumper Signature</v>
      </c>
      <c r="F149" s="160" t="str">
        <f>IFERROR(VLOOKUP(A149,ITEM_MASTER!$A:$E,5,0),"?")</f>
        <v>Cản Sau Đặc Trưng</v>
      </c>
      <c r="G149" s="158" t="str">
        <f>IFERROR(VLOOKUP($A149,ITEM_MASTER!$A:$I,7,0),"?")</f>
        <v>Rare</v>
      </c>
      <c r="H149" s="158" t="str">
        <f>IFERROR(VLOOKUP($A149,ITEM_MASTER!$A:$I,8,0),"?")</f>
        <v>unreleased</v>
      </c>
      <c r="I149" s="158" t="str">
        <f>IFERROR(VLOOKUP($A149,ITEM_MASTER!$A:$I,9,0),"?")</f>
        <v>Shop Purchase</v>
      </c>
      <c r="J149" s="158" t="str">
        <f>IFERROR(VLOOKUP($A149,ITEM_MASTER!$A:$J,10,0),"?")</f>
        <v/>
      </c>
      <c r="K149" s="158" t="str">
        <f>IFERROR(VLOOKUP($A149,ITEM_MASTER!$A:$K,11,0),"?")</f>
        <v/>
      </c>
      <c r="L149" s="158" t="b">
        <f>IFERROR(VLOOKUP($A149,ITEM_MASTER!$A:$N,12,0),"?")</f>
        <v>1</v>
      </c>
    </row>
    <row r="150" ht="15.75" customHeight="1">
      <c r="A150" s="164" t="s">
        <v>462</v>
      </c>
      <c r="B150" s="146"/>
      <c r="C150" s="80" t="s">
        <v>651</v>
      </c>
      <c r="D150" s="80" t="s">
        <v>655</v>
      </c>
      <c r="E150" s="160" t="str">
        <f>IFERROR(VLOOKUP(A150,ITEM_MASTER!$A:$E,4,0),"?")</f>
        <v>Spoiler Signature</v>
      </c>
      <c r="F150" s="160" t="str">
        <f>IFERROR(VLOOKUP(A150,ITEM_MASTER!$A:$E,5,0),"?")</f>
        <v>Cánh Gió Đặc Trưng</v>
      </c>
      <c r="G150" s="158" t="str">
        <f>IFERROR(VLOOKUP($A150,ITEM_MASTER!$A:$I,7,0),"?")</f>
        <v>Rare</v>
      </c>
      <c r="H150" s="158" t="str">
        <f>IFERROR(VLOOKUP($A150,ITEM_MASTER!$A:$I,8,0),"?")</f>
        <v>unreleased</v>
      </c>
      <c r="I150" s="158" t="str">
        <f>IFERROR(VLOOKUP($A150,ITEM_MASTER!$A:$I,9,0),"?")</f>
        <v>Shop Purchase</v>
      </c>
      <c r="J150" s="158" t="str">
        <f>IFERROR(VLOOKUP($A150,ITEM_MASTER!$A:$J,10,0),"?")</f>
        <v/>
      </c>
      <c r="K150" s="158" t="str">
        <f>IFERROR(VLOOKUP($A150,ITEM_MASTER!$A:$K,11,0),"?")</f>
        <v/>
      </c>
      <c r="L150" s="158" t="b">
        <f>IFERROR(VLOOKUP($A150,ITEM_MASTER!$A:$N,12,0),"?")</f>
        <v>1</v>
      </c>
    </row>
    <row r="151" ht="15.75" customHeight="1">
      <c r="A151" s="164" t="s">
        <v>463</v>
      </c>
      <c r="B151" s="146"/>
      <c r="C151" s="159" t="s">
        <v>652</v>
      </c>
      <c r="D151" s="80" t="s">
        <v>655</v>
      </c>
      <c r="E151" s="160" t="str">
        <f>IFERROR(VLOOKUP(A151,ITEM_MASTER!$A:$E,4,0),"?")</f>
        <v>Roof Panel Signature</v>
      </c>
      <c r="F151" s="160" t="str">
        <f>IFERROR(VLOOKUP(A151,ITEM_MASTER!$A:$E,5,0),"?")</f>
        <v>Nóc Xe Đặc Trưng</v>
      </c>
      <c r="G151" s="158" t="str">
        <f>IFERROR(VLOOKUP($A151,ITEM_MASTER!$A:$I,7,0),"?")</f>
        <v>Rare</v>
      </c>
      <c r="H151" s="158" t="str">
        <f>IFERROR(VLOOKUP($A151,ITEM_MASTER!$A:$I,8,0),"?")</f>
        <v>unreleased</v>
      </c>
      <c r="I151" s="158" t="str">
        <f>IFERROR(VLOOKUP($A151,ITEM_MASTER!$A:$I,9,0),"?")</f>
        <v>Shop Purchase</v>
      </c>
      <c r="J151" s="158" t="str">
        <f>IFERROR(VLOOKUP($A151,ITEM_MASTER!$A:$J,10,0),"?")</f>
        <v/>
      </c>
      <c r="K151" s="158" t="str">
        <f>IFERROR(VLOOKUP($A151,ITEM_MASTER!$A:$K,11,0),"?")</f>
        <v/>
      </c>
      <c r="L151" s="158" t="b">
        <f>IFERROR(VLOOKUP($A151,ITEM_MASTER!$A:$N,12,0),"?")</f>
        <v>1</v>
      </c>
    </row>
    <row r="152" ht="15.75" customHeight="1">
      <c r="A152" s="164" t="s">
        <v>464</v>
      </c>
      <c r="B152" s="146"/>
      <c r="C152" s="80" t="s">
        <v>653</v>
      </c>
      <c r="D152" s="80" t="s">
        <v>655</v>
      </c>
      <c r="E152" s="160" t="str">
        <f>IFERROR(VLOOKUP(A152,ITEM_MASTER!$A:$E,4,0),"?")</f>
        <v>Wheel Signature</v>
      </c>
      <c r="F152" s="160" t="str">
        <f>IFERROR(VLOOKUP(A152,ITEM_MASTER!$A:$E,5,0),"?")</f>
        <v>Mâm Đặc Trưng</v>
      </c>
      <c r="G152" s="158" t="str">
        <f>IFERROR(VLOOKUP($A152,ITEM_MASTER!$A:$I,7,0),"?")</f>
        <v>Rare</v>
      </c>
      <c r="H152" s="158" t="str">
        <f>IFERROR(VLOOKUP($A152,ITEM_MASTER!$A:$I,8,0),"?")</f>
        <v>unreleased</v>
      </c>
      <c r="I152" s="158" t="str">
        <f>IFERROR(VLOOKUP($A152,ITEM_MASTER!$A:$I,9,0),"?")</f>
        <v>Shop Purchase</v>
      </c>
      <c r="J152" s="158" t="str">
        <f>IFERROR(VLOOKUP($A152,ITEM_MASTER!$A:$J,10,0),"?")</f>
        <v/>
      </c>
      <c r="K152" s="158" t="str">
        <f>IFERROR(VLOOKUP($A152,ITEM_MASTER!$A:$K,11,0),"?")</f>
        <v/>
      </c>
      <c r="L152" s="158" t="b">
        <f>IFERROR(VLOOKUP($A152,ITEM_MASTER!$A:$N,12,0),"?")</f>
        <v>1</v>
      </c>
    </row>
    <row r="153" ht="15.75" customHeight="1">
      <c r="A153" s="164" t="s">
        <v>465</v>
      </c>
      <c r="B153" s="146"/>
      <c r="C153" s="159" t="s">
        <v>654</v>
      </c>
      <c r="D153" s="80" t="s">
        <v>655</v>
      </c>
      <c r="E153" s="160" t="str">
        <f>IFERROR(VLOOKUP(A153,ITEM_MASTER!$A:$E,4,0),"?")</f>
        <v>Side Skirt Signature</v>
      </c>
      <c r="F153" s="160" t="str">
        <f>IFERROR(VLOOKUP(A153,ITEM_MASTER!$A:$E,5,0),"?")</f>
        <v>Ốp Sườn Đặc Trưng</v>
      </c>
      <c r="G153" s="158" t="str">
        <f>IFERROR(VLOOKUP($A153,ITEM_MASTER!$A:$I,7,0),"?")</f>
        <v>Rare</v>
      </c>
      <c r="H153" s="158" t="str">
        <f>IFERROR(VLOOKUP($A153,ITEM_MASTER!$A:$I,8,0),"?")</f>
        <v>unreleased</v>
      </c>
      <c r="I153" s="158" t="str">
        <f>IFERROR(VLOOKUP($A153,ITEM_MASTER!$A:$I,9,0),"?")</f>
        <v>Shop Purchase</v>
      </c>
      <c r="J153" s="158" t="str">
        <f>IFERROR(VLOOKUP($A153,ITEM_MASTER!$A:$J,10,0),"?")</f>
        <v/>
      </c>
      <c r="K153" s="158" t="str">
        <f>IFERROR(VLOOKUP($A153,ITEM_MASTER!$A:$K,11,0),"?")</f>
        <v/>
      </c>
      <c r="L153" s="158" t="b">
        <f>IFERROR(VLOOKUP($A153,ITEM_MASTER!$A:$N,12,0),"?")</f>
        <v>1</v>
      </c>
    </row>
    <row r="154" ht="15.75" customHeight="1">
      <c r="A154" s="164" t="s">
        <v>466</v>
      </c>
      <c r="B154" s="146"/>
      <c r="C154" s="80" t="s">
        <v>648</v>
      </c>
      <c r="D154" s="80" t="s">
        <v>656</v>
      </c>
      <c r="E154" s="160" t="str">
        <f>IFERROR(VLOOKUP(A154,ITEM_MASTER!$A:$E,4,0),"?")</f>
        <v>Front Bumper Signature</v>
      </c>
      <c r="F154" s="160" t="str">
        <f>IFERROR(VLOOKUP(A154,ITEM_MASTER!$A:$E,5,0),"?")</f>
        <v>Cản Trước Đặc Trưng</v>
      </c>
      <c r="G154" s="158" t="str">
        <f>IFERROR(VLOOKUP($A154,ITEM_MASTER!$A:$I,7,0),"?")</f>
        <v>Rare</v>
      </c>
      <c r="H154" s="158" t="str">
        <f>IFERROR(VLOOKUP($A154,ITEM_MASTER!$A:$I,8,0),"?")</f>
        <v>unreleased</v>
      </c>
      <c r="I154" s="158" t="str">
        <f>IFERROR(VLOOKUP($A154,ITEM_MASTER!$A:$I,9,0),"?")</f>
        <v>Shop Purchase</v>
      </c>
      <c r="J154" s="158" t="str">
        <f>IFERROR(VLOOKUP($A154,ITEM_MASTER!$A:$J,10,0),"?")</f>
        <v/>
      </c>
      <c r="K154" s="158" t="str">
        <f>IFERROR(VLOOKUP($A154,ITEM_MASTER!$A:$K,11,0),"?")</f>
        <v/>
      </c>
      <c r="L154" s="158" t="b">
        <f>IFERROR(VLOOKUP($A154,ITEM_MASTER!$A:$N,12,0),"?")</f>
        <v>1</v>
      </c>
    </row>
    <row r="155" ht="15.75" customHeight="1">
      <c r="A155" s="164" t="s">
        <v>467</v>
      </c>
      <c r="B155" s="146"/>
      <c r="C155" s="159" t="s">
        <v>650</v>
      </c>
      <c r="D155" s="80" t="s">
        <v>656</v>
      </c>
      <c r="E155" s="160" t="str">
        <f>IFERROR(VLOOKUP(A155,ITEM_MASTER!$A:$E,4,0),"?")</f>
        <v>Rear Bumper Signature</v>
      </c>
      <c r="F155" s="160" t="str">
        <f>IFERROR(VLOOKUP(A155,ITEM_MASTER!$A:$E,5,0),"?")</f>
        <v>Cản Sau Đặc Trưng</v>
      </c>
      <c r="G155" s="158" t="str">
        <f>IFERROR(VLOOKUP($A155,ITEM_MASTER!$A:$I,7,0),"?")</f>
        <v>Rare</v>
      </c>
      <c r="H155" s="158" t="str">
        <f>IFERROR(VLOOKUP($A155,ITEM_MASTER!$A:$I,8,0),"?")</f>
        <v>unreleased</v>
      </c>
      <c r="I155" s="158" t="str">
        <f>IFERROR(VLOOKUP($A155,ITEM_MASTER!$A:$I,9,0),"?")</f>
        <v>Shop Purchase</v>
      </c>
      <c r="J155" s="158" t="str">
        <f>IFERROR(VLOOKUP($A155,ITEM_MASTER!$A:$J,10,0),"?")</f>
        <v/>
      </c>
      <c r="K155" s="158" t="str">
        <f>IFERROR(VLOOKUP($A155,ITEM_MASTER!$A:$K,11,0),"?")</f>
        <v/>
      </c>
      <c r="L155" s="158" t="b">
        <f>IFERROR(VLOOKUP($A155,ITEM_MASTER!$A:$N,12,0),"?")</f>
        <v>1</v>
      </c>
    </row>
    <row r="156" ht="15.75" customHeight="1">
      <c r="A156" s="164" t="s">
        <v>468</v>
      </c>
      <c r="B156" s="146"/>
      <c r="C156" s="80" t="s">
        <v>651</v>
      </c>
      <c r="D156" s="80" t="s">
        <v>656</v>
      </c>
      <c r="E156" s="160" t="str">
        <f>IFERROR(VLOOKUP(A156,ITEM_MASTER!$A:$E,4,0),"?")</f>
        <v>Spoiler Signature</v>
      </c>
      <c r="F156" s="160" t="str">
        <f>IFERROR(VLOOKUP(A156,ITEM_MASTER!$A:$E,5,0),"?")</f>
        <v>Cánh Gió Đặc Trưng</v>
      </c>
      <c r="G156" s="158" t="str">
        <f>IFERROR(VLOOKUP($A156,ITEM_MASTER!$A:$I,7,0),"?")</f>
        <v>Rare</v>
      </c>
      <c r="H156" s="158" t="str">
        <f>IFERROR(VLOOKUP($A156,ITEM_MASTER!$A:$I,8,0),"?")</f>
        <v>unreleased</v>
      </c>
      <c r="I156" s="158" t="str">
        <f>IFERROR(VLOOKUP($A156,ITEM_MASTER!$A:$I,9,0),"?")</f>
        <v>Shop Purchase</v>
      </c>
      <c r="J156" s="158" t="str">
        <f>IFERROR(VLOOKUP($A156,ITEM_MASTER!$A:$J,10,0),"?")</f>
        <v/>
      </c>
      <c r="K156" s="158" t="str">
        <f>IFERROR(VLOOKUP($A156,ITEM_MASTER!$A:$K,11,0),"?")</f>
        <v/>
      </c>
      <c r="L156" s="158" t="b">
        <f>IFERROR(VLOOKUP($A156,ITEM_MASTER!$A:$N,12,0),"?")</f>
        <v>1</v>
      </c>
    </row>
    <row r="157" ht="15.75" customHeight="1">
      <c r="A157" s="164" t="s">
        <v>469</v>
      </c>
      <c r="B157" s="146"/>
      <c r="C157" s="159" t="s">
        <v>652</v>
      </c>
      <c r="D157" s="80" t="s">
        <v>656</v>
      </c>
      <c r="E157" s="160" t="str">
        <f>IFERROR(VLOOKUP(A157,ITEM_MASTER!$A:$E,4,0),"?")</f>
        <v>Roof Panel Signature</v>
      </c>
      <c r="F157" s="160" t="str">
        <f>IFERROR(VLOOKUP(A157,ITEM_MASTER!$A:$E,5,0),"?")</f>
        <v>Nóc Xe Đặc Trưng</v>
      </c>
      <c r="G157" s="158" t="str">
        <f>IFERROR(VLOOKUP($A157,ITEM_MASTER!$A:$I,7,0),"?")</f>
        <v>Rare</v>
      </c>
      <c r="H157" s="158" t="str">
        <f>IFERROR(VLOOKUP($A157,ITEM_MASTER!$A:$I,8,0),"?")</f>
        <v>unreleased</v>
      </c>
      <c r="I157" s="158" t="str">
        <f>IFERROR(VLOOKUP($A157,ITEM_MASTER!$A:$I,9,0),"?")</f>
        <v>Shop Purchase</v>
      </c>
      <c r="J157" s="158" t="str">
        <f>IFERROR(VLOOKUP($A157,ITEM_MASTER!$A:$J,10,0),"?")</f>
        <v/>
      </c>
      <c r="K157" s="158" t="str">
        <f>IFERROR(VLOOKUP($A157,ITEM_MASTER!$A:$K,11,0),"?")</f>
        <v/>
      </c>
      <c r="L157" s="158" t="b">
        <f>IFERROR(VLOOKUP($A157,ITEM_MASTER!$A:$N,12,0),"?")</f>
        <v>1</v>
      </c>
    </row>
    <row r="158" ht="15.75" customHeight="1">
      <c r="A158" s="164" t="s">
        <v>470</v>
      </c>
      <c r="B158" s="146"/>
      <c r="C158" s="80" t="s">
        <v>653</v>
      </c>
      <c r="D158" s="80" t="s">
        <v>656</v>
      </c>
      <c r="E158" s="160" t="str">
        <f>IFERROR(VLOOKUP(A158,ITEM_MASTER!$A:$E,4,0),"?")</f>
        <v>Wheel Signature</v>
      </c>
      <c r="F158" s="160" t="str">
        <f>IFERROR(VLOOKUP(A158,ITEM_MASTER!$A:$E,5,0),"?")</f>
        <v>Mâm Đặc Trưng</v>
      </c>
      <c r="G158" s="158" t="str">
        <f>IFERROR(VLOOKUP($A158,ITEM_MASTER!$A:$I,7,0),"?")</f>
        <v>Rare</v>
      </c>
      <c r="H158" s="158" t="str">
        <f>IFERROR(VLOOKUP($A158,ITEM_MASTER!$A:$I,8,0),"?")</f>
        <v>unreleased</v>
      </c>
      <c r="I158" s="158" t="str">
        <f>IFERROR(VLOOKUP($A158,ITEM_MASTER!$A:$I,9,0),"?")</f>
        <v>Shop Purchase</v>
      </c>
      <c r="J158" s="158" t="str">
        <f>IFERROR(VLOOKUP($A158,ITEM_MASTER!$A:$J,10,0),"?")</f>
        <v/>
      </c>
      <c r="K158" s="158" t="str">
        <f>IFERROR(VLOOKUP($A158,ITEM_MASTER!$A:$K,11,0),"?")</f>
        <v/>
      </c>
      <c r="L158" s="158" t="b">
        <f>IFERROR(VLOOKUP($A158,ITEM_MASTER!$A:$N,12,0),"?")</f>
        <v>1</v>
      </c>
    </row>
    <row r="159" ht="15.75" customHeight="1">
      <c r="A159" s="164" t="s">
        <v>471</v>
      </c>
      <c r="B159" s="146"/>
      <c r="C159" s="159" t="s">
        <v>654</v>
      </c>
      <c r="D159" s="80" t="s">
        <v>656</v>
      </c>
      <c r="E159" s="160" t="str">
        <f>IFERROR(VLOOKUP(A159,ITEM_MASTER!$A:$E,4,0),"?")</f>
        <v>Side Skirt Signature</v>
      </c>
      <c r="F159" s="160" t="str">
        <f>IFERROR(VLOOKUP(A159,ITEM_MASTER!$A:$E,5,0),"?")</f>
        <v>Ốp Sườn Đặc Trưng</v>
      </c>
      <c r="G159" s="158" t="str">
        <f>IFERROR(VLOOKUP($A159,ITEM_MASTER!$A:$I,7,0),"?")</f>
        <v>Rare</v>
      </c>
      <c r="H159" s="158" t="str">
        <f>IFERROR(VLOOKUP($A159,ITEM_MASTER!$A:$I,8,0),"?")</f>
        <v>unreleased</v>
      </c>
      <c r="I159" s="158" t="str">
        <f>IFERROR(VLOOKUP($A159,ITEM_MASTER!$A:$I,9,0),"?")</f>
        <v>Shop Purchase</v>
      </c>
      <c r="J159" s="158" t="str">
        <f>IFERROR(VLOOKUP($A159,ITEM_MASTER!$A:$J,10,0),"?")</f>
        <v/>
      </c>
      <c r="K159" s="158" t="str">
        <f>IFERROR(VLOOKUP($A159,ITEM_MASTER!$A:$K,11,0),"?")</f>
        <v/>
      </c>
      <c r="L159" s="158" t="b">
        <f>IFERROR(VLOOKUP($A159,ITEM_MASTER!$A:$N,12,0),"?")</f>
        <v>1</v>
      </c>
    </row>
    <row r="160" ht="15.75" customHeight="1">
      <c r="A160" s="164" t="s">
        <v>472</v>
      </c>
      <c r="B160" s="146"/>
      <c r="C160" s="165" t="s">
        <v>657</v>
      </c>
      <c r="D160" s="80" t="s">
        <v>649</v>
      </c>
      <c r="E160" s="160" t="str">
        <f>IFERROR(VLOOKUP(A160,ITEM_MASTER!$A:$E,4,0),"?")</f>
        <v>VinLux Signature Body Paint</v>
      </c>
      <c r="F160" s="160" t="str">
        <f>IFERROR(VLOOKUP(A160,ITEM_MASTER!$A:$E,5,0),"?")</f>
        <v>Sơn Đặc Trưng VinLux</v>
      </c>
      <c r="G160" s="158" t="str">
        <f>IFERROR(VLOOKUP($A160,ITEM_MASTER!$A:$I,7,0),"?")</f>
        <v>Rare</v>
      </c>
      <c r="H160" s="158" t="str">
        <f>IFERROR(VLOOKUP($A160,ITEM_MASTER!$A:$I,8,0),"?")</f>
        <v>unreleased</v>
      </c>
      <c r="I160" s="158" t="str">
        <f>IFERROR(VLOOKUP($A160,ITEM_MASTER!$A:$I,9,0),"?")</f>
        <v>Shop Purchase</v>
      </c>
      <c r="J160" s="158" t="str">
        <f>IFERROR(VLOOKUP($A160,ITEM_MASTER!$A:$J,10,0),"?")</f>
        <v/>
      </c>
      <c r="K160" s="158" t="str">
        <f>IFERROR(VLOOKUP($A160,ITEM_MASTER!$A:$K,11,0),"?")</f>
        <v/>
      </c>
      <c r="L160" s="158" t="b">
        <f>IFERROR(VLOOKUP($A160,ITEM_MASTER!$A:$N,12,0),"?")</f>
        <v>1</v>
      </c>
    </row>
    <row r="161" ht="15.75" customHeight="1">
      <c r="A161" s="164" t="s">
        <v>475</v>
      </c>
      <c r="B161" s="146"/>
      <c r="C161" s="165" t="s">
        <v>657</v>
      </c>
      <c r="D161" s="80" t="s">
        <v>655</v>
      </c>
      <c r="E161" s="160" t="str">
        <f>IFERROR(VLOOKUP(A161,ITEM_MASTER!$A:$E,4,0),"?")</f>
        <v>VF8 Signature Body Paint</v>
      </c>
      <c r="F161" s="160" t="str">
        <f>IFERROR(VLOOKUP(A161,ITEM_MASTER!$A:$E,5,0),"?")</f>
        <v>Sơn Đặc Trưng VF8</v>
      </c>
      <c r="G161" s="158" t="str">
        <f>IFERROR(VLOOKUP($A161,ITEM_MASTER!$A:$I,7,0),"?")</f>
        <v>Rare</v>
      </c>
      <c r="H161" s="158" t="str">
        <f>IFERROR(VLOOKUP($A161,ITEM_MASTER!$A:$I,8,0),"?")</f>
        <v>unreleased</v>
      </c>
      <c r="I161" s="158" t="str">
        <f>IFERROR(VLOOKUP($A161,ITEM_MASTER!$A:$I,9,0),"?")</f>
        <v>Shop Purchase</v>
      </c>
      <c r="J161" s="158" t="str">
        <f>IFERROR(VLOOKUP($A161,ITEM_MASTER!$A:$J,10,0),"?")</f>
        <v/>
      </c>
      <c r="K161" s="158" t="str">
        <f>IFERROR(VLOOKUP($A161,ITEM_MASTER!$A:$K,11,0),"?")</f>
        <v/>
      </c>
      <c r="L161" s="158" t="b">
        <f>IFERROR(VLOOKUP($A161,ITEM_MASTER!$A:$N,12,0),"?")</f>
        <v>1</v>
      </c>
    </row>
    <row r="162" ht="15.75" customHeight="1">
      <c r="A162" s="164" t="s">
        <v>478</v>
      </c>
      <c r="B162" s="146"/>
      <c r="C162" s="165" t="s">
        <v>657</v>
      </c>
      <c r="D162" s="80" t="s">
        <v>656</v>
      </c>
      <c r="E162" s="160" t="str">
        <f>IFERROR(VLOOKUP(A162,ITEM_MASTER!$A:$E,4,0),"?")</f>
        <v>M_GTR Signature Body Paint</v>
      </c>
      <c r="F162" s="160" t="str">
        <f>IFERROR(VLOOKUP(A162,ITEM_MASTER!$A:$E,5,0),"?")</f>
        <v>Sơn Đặc Trưng M_GTR</v>
      </c>
      <c r="G162" s="158" t="str">
        <f>IFERROR(VLOOKUP($A162,ITEM_MASTER!$A:$I,7,0),"?")</f>
        <v>Rare</v>
      </c>
      <c r="H162" s="158" t="str">
        <f>IFERROR(VLOOKUP($A162,ITEM_MASTER!$A:$I,8,0),"?")</f>
        <v>unreleased</v>
      </c>
      <c r="I162" s="158" t="str">
        <f>IFERROR(VLOOKUP($A162,ITEM_MASTER!$A:$I,9,0),"?")</f>
        <v>Shop Purchase</v>
      </c>
      <c r="J162" s="158" t="str">
        <f>IFERROR(VLOOKUP($A162,ITEM_MASTER!$A:$J,10,0),"?")</f>
        <v/>
      </c>
      <c r="K162" s="158" t="str">
        <f>IFERROR(VLOOKUP($A162,ITEM_MASTER!$A:$K,11,0),"?")</f>
        <v/>
      </c>
      <c r="L162" s="158" t="b">
        <f>IFERROR(VLOOKUP($A162,ITEM_MASTER!$A:$N,12,0),"?")</f>
        <v>1</v>
      </c>
    </row>
    <row r="163" ht="15.75" customHeight="1">
      <c r="A163" s="164" t="s">
        <v>481</v>
      </c>
      <c r="B163" s="146"/>
      <c r="C163" s="165" t="s">
        <v>658</v>
      </c>
      <c r="D163" s="80" t="s">
        <v>649</v>
      </c>
      <c r="E163" s="160" t="str">
        <f>IFERROR(VLOOKUP(A163,ITEM_MASTER!$A:$E,4,0),"?")</f>
        <v>VinLux Signature Wheel Paint</v>
      </c>
      <c r="F163" s="160" t="str">
        <f>IFERROR(VLOOKUP(A163,ITEM_MASTER!$A:$E,5,0),"?")</f>
        <v>Sơn Đặc Trưng Mâm VinLux</v>
      </c>
      <c r="G163" s="158" t="str">
        <f>IFERROR(VLOOKUP($A163,ITEM_MASTER!$A:$I,7,0),"?")</f>
        <v>Rare</v>
      </c>
      <c r="H163" s="158" t="str">
        <f>IFERROR(VLOOKUP($A163,ITEM_MASTER!$A:$I,8,0),"?")</f>
        <v>unreleased</v>
      </c>
      <c r="I163" s="158" t="str">
        <f>IFERROR(VLOOKUP($A163,ITEM_MASTER!$A:$I,9,0),"?")</f>
        <v>Shop Purchase</v>
      </c>
      <c r="J163" s="158" t="str">
        <f>IFERROR(VLOOKUP($A163,ITEM_MASTER!$A:$J,10,0),"?")</f>
        <v/>
      </c>
      <c r="K163" s="158" t="str">
        <f>IFERROR(VLOOKUP($A163,ITEM_MASTER!$A:$K,11,0),"?")</f>
        <v/>
      </c>
      <c r="L163" s="158" t="b">
        <f>IFERROR(VLOOKUP($A163,ITEM_MASTER!$A:$N,12,0),"?")</f>
        <v>1</v>
      </c>
    </row>
    <row r="164" ht="15.75" customHeight="1">
      <c r="A164" s="164" t="s">
        <v>484</v>
      </c>
      <c r="B164" s="146"/>
      <c r="C164" s="165" t="s">
        <v>658</v>
      </c>
      <c r="D164" s="80" t="s">
        <v>655</v>
      </c>
      <c r="E164" s="160" t="str">
        <f>IFERROR(VLOOKUP(A164,ITEM_MASTER!$A:$E,4,0),"?")</f>
        <v>VF8 Signature Wheel Paint</v>
      </c>
      <c r="F164" s="160" t="str">
        <f>IFERROR(VLOOKUP(A164,ITEM_MASTER!$A:$E,5,0),"?")</f>
        <v>Sơn Đặc Trưng Mâm VF8</v>
      </c>
      <c r="G164" s="158" t="str">
        <f>IFERROR(VLOOKUP($A164,ITEM_MASTER!$A:$I,7,0),"?")</f>
        <v>Rare</v>
      </c>
      <c r="H164" s="158" t="str">
        <f>IFERROR(VLOOKUP($A164,ITEM_MASTER!$A:$I,8,0),"?")</f>
        <v>unreleased</v>
      </c>
      <c r="I164" s="158" t="str">
        <f>IFERROR(VLOOKUP($A164,ITEM_MASTER!$A:$I,9,0),"?")</f>
        <v>Shop Purchase</v>
      </c>
      <c r="J164" s="158" t="str">
        <f>IFERROR(VLOOKUP($A164,ITEM_MASTER!$A:$J,10,0),"?")</f>
        <v/>
      </c>
      <c r="K164" s="158" t="str">
        <f>IFERROR(VLOOKUP($A164,ITEM_MASTER!$A:$K,11,0),"?")</f>
        <v/>
      </c>
      <c r="L164" s="158" t="b">
        <f>IFERROR(VLOOKUP($A164,ITEM_MASTER!$A:$N,12,0),"?")</f>
        <v>1</v>
      </c>
    </row>
    <row r="165" ht="15.75" customHeight="1">
      <c r="A165" s="164" t="s">
        <v>487</v>
      </c>
      <c r="B165" s="146"/>
      <c r="C165" s="165" t="s">
        <v>658</v>
      </c>
      <c r="D165" s="80" t="s">
        <v>656</v>
      </c>
      <c r="E165" s="160" t="str">
        <f>IFERROR(VLOOKUP(A165,ITEM_MASTER!$A:$E,4,0),"?")</f>
        <v>M_GTR Signature Wheel Paint</v>
      </c>
      <c r="F165" s="160" t="str">
        <f>IFERROR(VLOOKUP(A165,ITEM_MASTER!$A:$E,5,0),"?")</f>
        <v>Sơn Đặc Trưng Mâm M_GTR</v>
      </c>
      <c r="G165" s="158" t="str">
        <f>IFERROR(VLOOKUP($A165,ITEM_MASTER!$A:$I,7,0),"?")</f>
        <v>Rare</v>
      </c>
      <c r="H165" s="158" t="str">
        <f>IFERROR(VLOOKUP($A165,ITEM_MASTER!$A:$I,8,0),"?")</f>
        <v>unreleased</v>
      </c>
      <c r="I165" s="158" t="str">
        <f>IFERROR(VLOOKUP($A165,ITEM_MASTER!$A:$I,9,0),"?")</f>
        <v>Shop Purchase</v>
      </c>
      <c r="J165" s="158" t="str">
        <f>IFERROR(VLOOKUP($A165,ITEM_MASTER!$A:$J,10,0),"?")</f>
        <v/>
      </c>
      <c r="K165" s="158" t="str">
        <f>IFERROR(VLOOKUP($A165,ITEM_MASTER!$A:$K,11,0),"?")</f>
        <v/>
      </c>
      <c r="L165" s="158" t="b">
        <f>IFERROR(VLOOKUP($A165,ITEM_MASTER!$A:$N,12,0),"?")</f>
        <v>1</v>
      </c>
    </row>
    <row r="166" ht="15.75" customHeight="1">
      <c r="A166" s="166"/>
      <c r="B166" s="146"/>
      <c r="C166" s="162"/>
      <c r="D166" s="101"/>
      <c r="E166" s="160" t="str">
        <f>IFERROR(VLOOKUP(A166,ITEM_MASTER!$A:$E,4,0),"?")</f>
        <v>?</v>
      </c>
      <c r="F166" s="160" t="str">
        <f>IFERROR(VLOOKUP(A166,ITEM_MASTER!$A:$E,5,0),"?")</f>
        <v>?</v>
      </c>
      <c r="G166" s="158" t="str">
        <f>IFERROR(VLOOKUP($A166,ITEM_MASTER!$A:$I,7,0),"?")</f>
        <v>?</v>
      </c>
      <c r="H166" s="158" t="str">
        <f>IFERROR(VLOOKUP($A166,ITEM_MASTER!$A:$I,8,0),"?")</f>
        <v>?</v>
      </c>
      <c r="I166" s="158" t="str">
        <f>IFERROR(VLOOKUP($A166,ITEM_MASTER!$A:$I,9,0),"?")</f>
        <v>?</v>
      </c>
      <c r="J166" s="158" t="str">
        <f>IFERROR(VLOOKUP($A166,ITEM_MASTER!$A:$J,10,0),"?")</f>
        <v>?</v>
      </c>
      <c r="K166" s="158" t="str">
        <f>IFERROR(VLOOKUP($A166,ITEM_MASTER!$A:$K,11,0),"?")</f>
        <v>?</v>
      </c>
      <c r="L166" s="158" t="str">
        <f>IFERROR(VLOOKUP($A166,ITEM_MASTER!$A:$N,12,0),"?")</f>
        <v>?</v>
      </c>
    </row>
    <row r="167" ht="15.75" customHeight="1">
      <c r="C167" s="135"/>
      <c r="G167" s="135"/>
      <c r="H167" s="135"/>
      <c r="I167" s="135"/>
      <c r="J167" s="135"/>
      <c r="K167" s="135"/>
    </row>
    <row r="168" ht="15.75" customHeight="1">
      <c r="C168" s="135"/>
      <c r="G168" s="135"/>
      <c r="H168" s="135"/>
      <c r="I168" s="135"/>
      <c r="J168" s="135"/>
      <c r="K168" s="135"/>
    </row>
    <row r="169" ht="15.75" customHeight="1">
      <c r="C169" s="135"/>
      <c r="G169" s="135"/>
      <c r="H169" s="135"/>
      <c r="I169" s="135"/>
      <c r="J169" s="135"/>
      <c r="K169" s="135"/>
    </row>
    <row r="170" ht="15.75" customHeight="1">
      <c r="C170" s="135"/>
      <c r="G170" s="135"/>
      <c r="H170" s="135"/>
      <c r="I170" s="135"/>
      <c r="J170" s="135"/>
      <c r="K170" s="135"/>
    </row>
    <row r="171" ht="15.75" customHeight="1">
      <c r="C171" s="135"/>
      <c r="G171" s="135"/>
      <c r="H171" s="135"/>
      <c r="I171" s="135"/>
      <c r="J171" s="135"/>
      <c r="K171" s="135"/>
    </row>
    <row r="172" ht="15.75" customHeight="1">
      <c r="C172" s="135"/>
      <c r="G172" s="135"/>
      <c r="H172" s="135"/>
      <c r="I172" s="135"/>
      <c r="J172" s="135"/>
      <c r="K172" s="135"/>
    </row>
    <row r="173" ht="15.75" customHeight="1">
      <c r="C173" s="135"/>
      <c r="G173" s="135"/>
      <c r="H173" s="135"/>
      <c r="I173" s="135"/>
      <c r="J173" s="135"/>
      <c r="K173" s="135"/>
    </row>
    <row r="174" ht="15.75" customHeight="1">
      <c r="C174" s="135"/>
      <c r="G174" s="135"/>
      <c r="H174" s="135"/>
      <c r="I174" s="135"/>
      <c r="J174" s="135"/>
      <c r="K174" s="135"/>
    </row>
    <row r="175" ht="15.75" customHeight="1">
      <c r="C175" s="135"/>
      <c r="G175" s="135"/>
      <c r="H175" s="135"/>
      <c r="I175" s="135"/>
      <c r="J175" s="135"/>
      <c r="K175" s="135"/>
    </row>
    <row r="176" ht="15.75" customHeight="1">
      <c r="C176" s="135"/>
      <c r="G176" s="135"/>
      <c r="H176" s="135"/>
      <c r="I176" s="135"/>
      <c r="J176" s="135"/>
      <c r="K176" s="135"/>
    </row>
    <row r="177" ht="15.75" customHeight="1">
      <c r="C177" s="135"/>
      <c r="G177" s="135"/>
      <c r="H177" s="135"/>
      <c r="I177" s="135"/>
      <c r="J177" s="135"/>
      <c r="K177" s="135"/>
    </row>
    <row r="178" ht="15.75" customHeight="1">
      <c r="C178" s="135"/>
      <c r="G178" s="135"/>
      <c r="H178" s="135"/>
      <c r="I178" s="135"/>
      <c r="J178" s="135"/>
      <c r="K178" s="135"/>
    </row>
    <row r="179" ht="15.75" customHeight="1">
      <c r="C179" s="135"/>
      <c r="G179" s="135"/>
      <c r="H179" s="135"/>
      <c r="I179" s="135"/>
      <c r="J179" s="135"/>
      <c r="K179" s="135"/>
    </row>
    <row r="180" ht="15.75" customHeight="1">
      <c r="C180" s="135"/>
      <c r="G180" s="135"/>
      <c r="H180" s="135"/>
      <c r="I180" s="135"/>
      <c r="J180" s="135"/>
      <c r="K180" s="135"/>
    </row>
    <row r="181" ht="15.75" customHeight="1">
      <c r="C181" s="135"/>
      <c r="G181" s="135"/>
      <c r="H181" s="135"/>
      <c r="I181" s="135"/>
      <c r="J181" s="135"/>
      <c r="K181" s="135"/>
    </row>
    <row r="182" ht="15.75" customHeight="1">
      <c r="C182" s="135"/>
      <c r="G182" s="135"/>
      <c r="H182" s="135"/>
      <c r="I182" s="135"/>
      <c r="J182" s="135"/>
      <c r="K182" s="135"/>
    </row>
    <row r="183" ht="15.75" customHeight="1">
      <c r="C183" s="135"/>
      <c r="G183" s="135"/>
      <c r="H183" s="135"/>
      <c r="I183" s="135"/>
      <c r="J183" s="135"/>
      <c r="K183" s="135"/>
    </row>
    <row r="184" ht="15.75" customHeight="1">
      <c r="C184" s="135"/>
      <c r="G184" s="135"/>
      <c r="H184" s="135"/>
      <c r="I184" s="135"/>
      <c r="J184" s="135"/>
      <c r="K184" s="135"/>
    </row>
    <row r="185" ht="15.75" customHeight="1">
      <c r="C185" s="135"/>
      <c r="G185" s="135"/>
      <c r="H185" s="135"/>
      <c r="I185" s="135"/>
      <c r="J185" s="135"/>
      <c r="K185" s="135"/>
    </row>
    <row r="186" ht="15.75" customHeight="1">
      <c r="C186" s="135"/>
      <c r="G186" s="135"/>
      <c r="H186" s="135"/>
      <c r="I186" s="135"/>
      <c r="J186" s="135"/>
      <c r="K186" s="135"/>
    </row>
    <row r="187" ht="15.75" customHeight="1">
      <c r="C187" s="135"/>
      <c r="G187" s="135"/>
      <c r="H187" s="135"/>
      <c r="I187" s="135"/>
      <c r="J187" s="135"/>
      <c r="K187" s="135"/>
    </row>
    <row r="188" ht="15.75" customHeight="1">
      <c r="C188" s="135"/>
      <c r="G188" s="135"/>
      <c r="H188" s="135"/>
      <c r="I188" s="135"/>
      <c r="J188" s="135"/>
      <c r="K188" s="135"/>
    </row>
    <row r="189" ht="15.75" customHeight="1">
      <c r="C189" s="135"/>
      <c r="G189" s="135"/>
      <c r="H189" s="135"/>
      <c r="I189" s="135"/>
      <c r="J189" s="135"/>
      <c r="K189" s="135"/>
    </row>
    <row r="190" ht="15.75" customHeight="1">
      <c r="C190" s="135"/>
      <c r="G190" s="135"/>
      <c r="H190" s="135"/>
      <c r="I190" s="135"/>
      <c r="J190" s="135"/>
      <c r="K190" s="135"/>
    </row>
    <row r="191" ht="15.75" customHeight="1">
      <c r="C191" s="135"/>
      <c r="G191" s="135"/>
      <c r="H191" s="135"/>
      <c r="I191" s="135"/>
      <c r="J191" s="135"/>
      <c r="K191" s="135"/>
    </row>
    <row r="192" ht="15.75" customHeight="1">
      <c r="C192" s="135"/>
      <c r="G192" s="135"/>
      <c r="H192" s="135"/>
      <c r="I192" s="135"/>
      <c r="J192" s="135"/>
      <c r="K192" s="135"/>
    </row>
    <row r="193" ht="15.75" customHeight="1">
      <c r="C193" s="135"/>
      <c r="G193" s="135"/>
      <c r="H193" s="135"/>
      <c r="I193" s="135"/>
      <c r="J193" s="135"/>
      <c r="K193" s="135"/>
    </row>
    <row r="194" ht="15.75" customHeight="1">
      <c r="C194" s="135"/>
      <c r="G194" s="135"/>
      <c r="H194" s="135"/>
      <c r="I194" s="135"/>
      <c r="J194" s="135"/>
      <c r="K194" s="135"/>
    </row>
    <row r="195" ht="15.75" customHeight="1">
      <c r="C195" s="135"/>
      <c r="G195" s="135"/>
      <c r="H195" s="135"/>
      <c r="I195" s="135"/>
      <c r="J195" s="135"/>
      <c r="K195" s="135"/>
    </row>
    <row r="196" ht="15.75" customHeight="1">
      <c r="C196" s="135"/>
      <c r="G196" s="135"/>
      <c r="H196" s="135"/>
      <c r="I196" s="135"/>
      <c r="J196" s="135"/>
      <c r="K196" s="135"/>
    </row>
    <row r="197" ht="15.75" customHeight="1">
      <c r="C197" s="135"/>
      <c r="G197" s="135"/>
      <c r="H197" s="135"/>
      <c r="I197" s="135"/>
      <c r="J197" s="135"/>
      <c r="K197" s="135"/>
    </row>
    <row r="198" ht="15.75" customHeight="1">
      <c r="C198" s="135"/>
      <c r="G198" s="135"/>
      <c r="H198" s="135"/>
      <c r="I198" s="135"/>
      <c r="J198" s="135"/>
      <c r="K198" s="135"/>
    </row>
    <row r="199" ht="15.75" customHeight="1">
      <c r="C199" s="135"/>
      <c r="G199" s="135"/>
      <c r="H199" s="135"/>
      <c r="I199" s="135"/>
      <c r="J199" s="135"/>
      <c r="K199" s="135"/>
    </row>
    <row r="200" ht="15.75" customHeight="1">
      <c r="C200" s="135"/>
      <c r="G200" s="135"/>
      <c r="H200" s="135"/>
      <c r="I200" s="135"/>
      <c r="J200" s="135"/>
      <c r="K200" s="135"/>
    </row>
    <row r="201" ht="15.75" customHeight="1">
      <c r="C201" s="135"/>
      <c r="G201" s="135"/>
      <c r="H201" s="135"/>
      <c r="I201" s="135"/>
      <c r="J201" s="135"/>
      <c r="K201" s="135"/>
    </row>
    <row r="202" ht="15.75" customHeight="1">
      <c r="C202" s="135"/>
      <c r="G202" s="135"/>
      <c r="H202" s="135"/>
      <c r="I202" s="135"/>
      <c r="J202" s="135"/>
      <c r="K202" s="135"/>
    </row>
    <row r="203" ht="15.75" customHeight="1">
      <c r="C203" s="135"/>
      <c r="G203" s="135"/>
      <c r="H203" s="135"/>
      <c r="I203" s="135"/>
      <c r="J203" s="135"/>
      <c r="K203" s="135"/>
    </row>
    <row r="204" ht="15.75" customHeight="1">
      <c r="C204" s="135"/>
      <c r="G204" s="135"/>
      <c r="H204" s="135"/>
      <c r="I204" s="135"/>
      <c r="J204" s="135"/>
      <c r="K204" s="135"/>
    </row>
    <row r="205" ht="15.75" customHeight="1">
      <c r="C205" s="135"/>
      <c r="G205" s="135"/>
      <c r="H205" s="135"/>
      <c r="I205" s="135"/>
      <c r="J205" s="135"/>
      <c r="K205" s="135"/>
    </row>
    <row r="206" ht="15.75" customHeight="1">
      <c r="C206" s="135"/>
      <c r="G206" s="135"/>
      <c r="H206" s="135"/>
      <c r="I206" s="135"/>
      <c r="J206" s="135"/>
      <c r="K206" s="135"/>
    </row>
    <row r="207" ht="15.75" customHeight="1">
      <c r="C207" s="135"/>
      <c r="G207" s="135"/>
      <c r="H207" s="135"/>
      <c r="I207" s="135"/>
      <c r="J207" s="135"/>
      <c r="K207" s="135"/>
    </row>
    <row r="208" ht="15.75" customHeight="1">
      <c r="C208" s="135"/>
      <c r="G208" s="135"/>
      <c r="H208" s="135"/>
      <c r="I208" s="135"/>
      <c r="J208" s="135"/>
      <c r="K208" s="135"/>
    </row>
    <row r="209" ht="15.75" customHeight="1">
      <c r="C209" s="135"/>
      <c r="G209" s="135"/>
      <c r="H209" s="135"/>
      <c r="I209" s="135"/>
      <c r="J209" s="135"/>
      <c r="K209" s="135"/>
    </row>
    <row r="210" ht="15.75" customHeight="1">
      <c r="C210" s="135"/>
      <c r="G210" s="135"/>
      <c r="H210" s="135"/>
      <c r="I210" s="135"/>
      <c r="J210" s="135"/>
      <c r="K210" s="135"/>
    </row>
    <row r="211" ht="15.75" customHeight="1">
      <c r="C211" s="135"/>
      <c r="G211" s="135"/>
      <c r="H211" s="135"/>
      <c r="I211" s="135"/>
      <c r="J211" s="135"/>
      <c r="K211" s="135"/>
    </row>
    <row r="212" ht="15.75" customHeight="1">
      <c r="C212" s="135"/>
      <c r="G212" s="135"/>
      <c r="H212" s="135"/>
      <c r="I212" s="135"/>
      <c r="J212" s="135"/>
      <c r="K212" s="135"/>
    </row>
    <row r="213" ht="15.75" customHeight="1">
      <c r="C213" s="135"/>
      <c r="G213" s="135"/>
      <c r="H213" s="135"/>
      <c r="I213" s="135"/>
      <c r="J213" s="135"/>
      <c r="K213" s="135"/>
    </row>
    <row r="214" ht="15.75" customHeight="1">
      <c r="C214" s="135"/>
      <c r="G214" s="135"/>
      <c r="H214" s="135"/>
      <c r="I214" s="135"/>
      <c r="J214" s="135"/>
      <c r="K214" s="135"/>
    </row>
    <row r="215" ht="15.75" customHeight="1">
      <c r="C215" s="135"/>
      <c r="G215" s="135"/>
      <c r="H215" s="135"/>
      <c r="I215" s="135"/>
      <c r="J215" s="135"/>
      <c r="K215" s="135"/>
    </row>
    <row r="216" ht="15.75" customHeight="1">
      <c r="C216" s="135"/>
      <c r="G216" s="135"/>
      <c r="H216" s="135"/>
      <c r="I216" s="135"/>
      <c r="J216" s="135"/>
      <c r="K216" s="135"/>
    </row>
    <row r="217" ht="15.75" customHeight="1">
      <c r="C217" s="135"/>
      <c r="G217" s="135"/>
      <c r="H217" s="135"/>
      <c r="I217" s="135"/>
      <c r="J217" s="135"/>
      <c r="K217" s="135"/>
    </row>
    <row r="218" ht="15.75" customHeight="1">
      <c r="C218" s="135"/>
      <c r="G218" s="135"/>
      <c r="H218" s="135"/>
      <c r="I218" s="135"/>
      <c r="J218" s="135"/>
      <c r="K218" s="135"/>
    </row>
    <row r="219" ht="15.75" customHeight="1">
      <c r="C219" s="135"/>
      <c r="G219" s="135"/>
      <c r="H219" s="135"/>
      <c r="I219" s="135"/>
      <c r="J219" s="135"/>
      <c r="K219" s="135"/>
    </row>
    <row r="220" ht="15.75" customHeight="1">
      <c r="C220" s="135"/>
      <c r="G220" s="135"/>
      <c r="H220" s="135"/>
      <c r="I220" s="135"/>
      <c r="J220" s="135"/>
      <c r="K220" s="135"/>
    </row>
    <row r="221" ht="15.75" customHeight="1">
      <c r="C221" s="135"/>
      <c r="G221" s="135"/>
      <c r="H221" s="135"/>
      <c r="I221" s="135"/>
      <c r="J221" s="135"/>
      <c r="K221" s="135"/>
    </row>
    <row r="222" ht="15.75" customHeight="1">
      <c r="C222" s="135"/>
      <c r="G222" s="135"/>
      <c r="H222" s="135"/>
      <c r="I222" s="135"/>
      <c r="J222" s="135"/>
      <c r="K222" s="135"/>
    </row>
    <row r="223" ht="15.75" customHeight="1">
      <c r="C223" s="135"/>
      <c r="G223" s="135"/>
      <c r="H223" s="135"/>
      <c r="I223" s="135"/>
      <c r="J223" s="135"/>
      <c r="K223" s="135"/>
    </row>
    <row r="224" ht="15.75" customHeight="1">
      <c r="C224" s="135"/>
      <c r="G224" s="135"/>
      <c r="H224" s="135"/>
      <c r="I224" s="135"/>
      <c r="J224" s="135"/>
      <c r="K224" s="135"/>
    </row>
    <row r="225" ht="15.75" customHeight="1">
      <c r="C225" s="135"/>
      <c r="G225" s="135"/>
      <c r="H225" s="135"/>
      <c r="I225" s="135"/>
      <c r="J225" s="135"/>
      <c r="K225" s="135"/>
    </row>
    <row r="226" ht="15.75" customHeight="1">
      <c r="C226" s="135"/>
      <c r="G226" s="135"/>
      <c r="H226" s="135"/>
      <c r="I226" s="135"/>
      <c r="J226" s="135"/>
      <c r="K226" s="135"/>
    </row>
    <row r="227" ht="15.75" customHeight="1">
      <c r="C227" s="135"/>
      <c r="G227" s="135"/>
      <c r="H227" s="135"/>
      <c r="I227" s="135"/>
      <c r="J227" s="135"/>
      <c r="K227" s="135"/>
    </row>
    <row r="228" ht="15.75" customHeight="1">
      <c r="C228" s="135"/>
      <c r="G228" s="135"/>
      <c r="H228" s="135"/>
      <c r="I228" s="135"/>
      <c r="J228" s="135"/>
      <c r="K228" s="135"/>
    </row>
    <row r="229" ht="15.75" customHeight="1">
      <c r="C229" s="135"/>
      <c r="G229" s="135"/>
      <c r="H229" s="135"/>
      <c r="I229" s="135"/>
      <c r="J229" s="135"/>
      <c r="K229" s="135"/>
    </row>
    <row r="230" ht="15.75" customHeight="1">
      <c r="C230" s="135"/>
      <c r="G230" s="135"/>
      <c r="H230" s="135"/>
      <c r="I230" s="135"/>
      <c r="J230" s="135"/>
      <c r="K230" s="135"/>
    </row>
    <row r="231" ht="15.75" customHeight="1">
      <c r="C231" s="135"/>
      <c r="G231" s="135"/>
      <c r="H231" s="135"/>
      <c r="I231" s="135"/>
      <c r="J231" s="135"/>
      <c r="K231" s="135"/>
    </row>
    <row r="232" ht="15.75" customHeight="1">
      <c r="C232" s="135"/>
      <c r="G232" s="135"/>
      <c r="H232" s="135"/>
      <c r="I232" s="135"/>
      <c r="J232" s="135"/>
      <c r="K232" s="135"/>
    </row>
    <row r="233" ht="15.75" customHeight="1">
      <c r="C233" s="135"/>
      <c r="G233" s="135"/>
      <c r="H233" s="135"/>
      <c r="I233" s="135"/>
      <c r="J233" s="135"/>
      <c r="K233" s="135"/>
    </row>
    <row r="234" ht="15.75" customHeight="1">
      <c r="C234" s="135"/>
      <c r="G234" s="135"/>
      <c r="H234" s="135"/>
      <c r="I234" s="135"/>
      <c r="J234" s="135"/>
      <c r="K234" s="135"/>
    </row>
    <row r="235" ht="15.75" customHeight="1">
      <c r="C235" s="135"/>
      <c r="G235" s="135"/>
      <c r="H235" s="135"/>
      <c r="I235" s="135"/>
      <c r="J235" s="135"/>
      <c r="K235" s="135"/>
    </row>
    <row r="236" ht="15.75" customHeight="1">
      <c r="C236" s="135"/>
      <c r="G236" s="135"/>
      <c r="H236" s="135"/>
      <c r="I236" s="135"/>
      <c r="J236" s="135"/>
      <c r="K236" s="135"/>
    </row>
    <row r="237" ht="15.75" customHeight="1">
      <c r="C237" s="135"/>
      <c r="G237" s="135"/>
      <c r="H237" s="135"/>
      <c r="I237" s="135"/>
      <c r="J237" s="135"/>
      <c r="K237" s="135"/>
    </row>
    <row r="238" ht="15.75" customHeight="1">
      <c r="C238" s="135"/>
      <c r="G238" s="135"/>
      <c r="H238" s="135"/>
      <c r="I238" s="135"/>
      <c r="J238" s="135"/>
      <c r="K238" s="135"/>
    </row>
    <row r="239" ht="15.75" customHeight="1">
      <c r="C239" s="135"/>
      <c r="G239" s="135"/>
      <c r="H239" s="135"/>
      <c r="I239" s="135"/>
      <c r="J239" s="135"/>
      <c r="K239" s="135"/>
    </row>
    <row r="240" ht="15.75" customHeight="1">
      <c r="C240" s="135"/>
      <c r="G240" s="135"/>
      <c r="H240" s="135"/>
      <c r="I240" s="135"/>
      <c r="J240" s="135"/>
      <c r="K240" s="135"/>
    </row>
    <row r="241" ht="15.75" customHeight="1">
      <c r="C241" s="135"/>
      <c r="G241" s="135"/>
      <c r="H241" s="135"/>
      <c r="I241" s="135"/>
      <c r="J241" s="135"/>
      <c r="K241" s="135"/>
    </row>
    <row r="242" ht="15.75" customHeight="1">
      <c r="C242" s="135"/>
      <c r="G242" s="135"/>
      <c r="H242" s="135"/>
      <c r="I242" s="135"/>
      <c r="J242" s="135"/>
      <c r="K242" s="135"/>
    </row>
    <row r="243" ht="15.75" customHeight="1">
      <c r="C243" s="135"/>
      <c r="G243" s="135"/>
      <c r="H243" s="135"/>
      <c r="I243" s="135"/>
      <c r="J243" s="135"/>
      <c r="K243" s="135"/>
    </row>
    <row r="244" ht="15.75" customHeight="1">
      <c r="C244" s="135"/>
      <c r="G244" s="135"/>
      <c r="H244" s="135"/>
      <c r="I244" s="135"/>
      <c r="J244" s="135"/>
      <c r="K244" s="135"/>
    </row>
    <row r="245" ht="15.75" customHeight="1">
      <c r="C245" s="135"/>
      <c r="G245" s="135"/>
      <c r="H245" s="135"/>
      <c r="I245" s="135"/>
      <c r="J245" s="135"/>
      <c r="K245" s="135"/>
    </row>
    <row r="246" ht="15.75" customHeight="1">
      <c r="C246" s="135"/>
      <c r="G246" s="135"/>
      <c r="H246" s="135"/>
      <c r="I246" s="135"/>
      <c r="J246" s="135"/>
      <c r="K246" s="135"/>
    </row>
    <row r="247" ht="15.75" customHeight="1">
      <c r="C247" s="135"/>
      <c r="G247" s="135"/>
      <c r="H247" s="135"/>
      <c r="I247" s="135"/>
      <c r="J247" s="135"/>
      <c r="K247" s="135"/>
    </row>
    <row r="248" ht="15.75" customHeight="1">
      <c r="C248" s="135"/>
      <c r="G248" s="135"/>
      <c r="H248" s="135"/>
      <c r="I248" s="135"/>
      <c r="J248" s="135"/>
      <c r="K248" s="135"/>
    </row>
    <row r="249" ht="15.75" customHeight="1">
      <c r="C249" s="135"/>
      <c r="G249" s="135"/>
      <c r="H249" s="135"/>
      <c r="I249" s="135"/>
      <c r="J249" s="135"/>
      <c r="K249" s="135"/>
    </row>
    <row r="250" ht="15.75" customHeight="1">
      <c r="C250" s="135"/>
      <c r="G250" s="135"/>
      <c r="H250" s="135"/>
      <c r="I250" s="135"/>
      <c r="J250" s="135"/>
      <c r="K250" s="135"/>
    </row>
    <row r="251" ht="15.75" customHeight="1">
      <c r="C251" s="135"/>
      <c r="G251" s="135"/>
      <c r="H251" s="135"/>
      <c r="I251" s="135"/>
      <c r="J251" s="135"/>
      <c r="K251" s="135"/>
    </row>
    <row r="252" ht="15.75" customHeight="1">
      <c r="C252" s="135"/>
      <c r="G252" s="135"/>
      <c r="H252" s="135"/>
      <c r="I252" s="135"/>
      <c r="J252" s="135"/>
      <c r="K252" s="135"/>
    </row>
    <row r="253" ht="15.75" customHeight="1">
      <c r="C253" s="135"/>
      <c r="G253" s="135"/>
      <c r="H253" s="135"/>
      <c r="I253" s="135"/>
      <c r="J253" s="135"/>
      <c r="K253" s="135"/>
    </row>
    <row r="254" ht="15.75" customHeight="1">
      <c r="C254" s="135"/>
      <c r="G254" s="135"/>
      <c r="H254" s="135"/>
      <c r="I254" s="135"/>
      <c r="J254" s="135"/>
      <c r="K254" s="135"/>
    </row>
    <row r="255" ht="15.75" customHeight="1">
      <c r="C255" s="135"/>
      <c r="G255" s="135"/>
      <c r="H255" s="135"/>
      <c r="I255" s="135"/>
      <c r="J255" s="135"/>
      <c r="K255" s="135"/>
    </row>
    <row r="256" ht="15.75" customHeight="1">
      <c r="C256" s="135"/>
      <c r="G256" s="135"/>
      <c r="H256" s="135"/>
      <c r="I256" s="135"/>
      <c r="J256" s="135"/>
      <c r="K256" s="135"/>
    </row>
    <row r="257" ht="15.75" customHeight="1">
      <c r="C257" s="135"/>
      <c r="G257" s="135"/>
      <c r="H257" s="135"/>
      <c r="I257" s="135"/>
      <c r="J257" s="135"/>
      <c r="K257" s="135"/>
    </row>
    <row r="258" ht="15.75" customHeight="1">
      <c r="C258" s="135"/>
      <c r="G258" s="135"/>
      <c r="H258" s="135"/>
      <c r="I258" s="135"/>
      <c r="J258" s="135"/>
      <c r="K258" s="135"/>
    </row>
    <row r="259" ht="15.75" customHeight="1">
      <c r="C259" s="135"/>
      <c r="G259" s="135"/>
      <c r="H259" s="135"/>
      <c r="I259" s="135"/>
      <c r="J259" s="135"/>
      <c r="K259" s="135"/>
    </row>
    <row r="260" ht="15.75" customHeight="1">
      <c r="C260" s="135"/>
      <c r="G260" s="135"/>
      <c r="H260" s="135"/>
      <c r="I260" s="135"/>
      <c r="J260" s="135"/>
      <c r="K260" s="135"/>
    </row>
    <row r="261" ht="15.75" customHeight="1">
      <c r="C261" s="135"/>
      <c r="G261" s="135"/>
      <c r="H261" s="135"/>
      <c r="I261" s="135"/>
      <c r="J261" s="135"/>
      <c r="K261" s="135"/>
    </row>
    <row r="262" ht="15.75" customHeight="1">
      <c r="C262" s="135"/>
      <c r="G262" s="135"/>
      <c r="H262" s="135"/>
      <c r="I262" s="135"/>
      <c r="J262" s="135"/>
      <c r="K262" s="135"/>
    </row>
    <row r="263" ht="15.75" customHeight="1">
      <c r="C263" s="135"/>
      <c r="G263" s="135"/>
      <c r="H263" s="135"/>
      <c r="I263" s="135"/>
      <c r="J263" s="135"/>
      <c r="K263" s="135"/>
    </row>
    <row r="264" ht="15.75" customHeight="1">
      <c r="C264" s="135"/>
      <c r="G264" s="135"/>
      <c r="H264" s="135"/>
      <c r="I264" s="135"/>
      <c r="J264" s="135"/>
      <c r="K264" s="135"/>
    </row>
    <row r="265" ht="15.75" customHeight="1">
      <c r="C265" s="135"/>
      <c r="G265" s="135"/>
      <c r="H265" s="135"/>
      <c r="I265" s="135"/>
      <c r="J265" s="135"/>
      <c r="K265" s="135"/>
    </row>
    <row r="266" ht="15.75" customHeight="1">
      <c r="C266" s="135"/>
      <c r="G266" s="135"/>
      <c r="H266" s="135"/>
      <c r="I266" s="135"/>
      <c r="J266" s="135"/>
      <c r="K266" s="135"/>
    </row>
    <row r="267" ht="15.75" customHeight="1">
      <c r="C267" s="135"/>
      <c r="G267" s="135"/>
      <c r="H267" s="135"/>
      <c r="I267" s="135"/>
      <c r="J267" s="135"/>
      <c r="K267" s="135"/>
    </row>
    <row r="268" ht="15.75" customHeight="1">
      <c r="C268" s="135"/>
      <c r="G268" s="135"/>
      <c r="H268" s="135"/>
      <c r="I268" s="135"/>
      <c r="J268" s="135"/>
      <c r="K268" s="135"/>
    </row>
    <row r="269" ht="15.75" customHeight="1">
      <c r="C269" s="135"/>
      <c r="G269" s="135"/>
      <c r="H269" s="135"/>
      <c r="I269" s="135"/>
      <c r="J269" s="135"/>
      <c r="K269" s="135"/>
    </row>
    <row r="270" ht="15.75" customHeight="1">
      <c r="C270" s="135"/>
      <c r="G270" s="135"/>
      <c r="H270" s="135"/>
      <c r="I270" s="135"/>
      <c r="J270" s="135"/>
      <c r="K270" s="135"/>
    </row>
    <row r="271" ht="15.75" customHeight="1">
      <c r="C271" s="135"/>
      <c r="G271" s="135"/>
      <c r="H271" s="135"/>
      <c r="I271" s="135"/>
      <c r="J271" s="135"/>
      <c r="K271" s="135"/>
    </row>
    <row r="272" ht="15.75" customHeight="1">
      <c r="C272" s="135"/>
      <c r="G272" s="135"/>
      <c r="H272" s="135"/>
      <c r="I272" s="135"/>
      <c r="J272" s="135"/>
      <c r="K272" s="135"/>
    </row>
    <row r="273" ht="15.75" customHeight="1">
      <c r="C273" s="135"/>
      <c r="G273" s="135"/>
      <c r="H273" s="135"/>
      <c r="I273" s="135"/>
      <c r="J273" s="135"/>
      <c r="K273" s="135"/>
    </row>
    <row r="274" ht="15.75" customHeight="1">
      <c r="C274" s="135"/>
      <c r="G274" s="135"/>
      <c r="H274" s="135"/>
      <c r="I274" s="135"/>
      <c r="J274" s="135"/>
      <c r="K274" s="135"/>
    </row>
    <row r="275" ht="15.75" customHeight="1">
      <c r="C275" s="135"/>
      <c r="G275" s="135"/>
      <c r="H275" s="135"/>
      <c r="I275" s="135"/>
      <c r="J275" s="135"/>
      <c r="K275" s="135"/>
    </row>
    <row r="276" ht="15.75" customHeight="1">
      <c r="C276" s="135"/>
      <c r="G276" s="135"/>
      <c r="H276" s="135"/>
      <c r="I276" s="135"/>
      <c r="J276" s="135"/>
      <c r="K276" s="135"/>
    </row>
    <row r="277" ht="15.75" customHeight="1">
      <c r="C277" s="135"/>
      <c r="G277" s="135"/>
      <c r="H277" s="135"/>
      <c r="I277" s="135"/>
      <c r="J277" s="135"/>
      <c r="K277" s="135"/>
    </row>
    <row r="278" ht="15.75" customHeight="1">
      <c r="C278" s="135"/>
      <c r="G278" s="135"/>
      <c r="H278" s="135"/>
      <c r="I278" s="135"/>
      <c r="J278" s="135"/>
      <c r="K278" s="135"/>
    </row>
    <row r="279" ht="15.75" customHeight="1">
      <c r="C279" s="135"/>
      <c r="G279" s="135"/>
      <c r="H279" s="135"/>
      <c r="I279" s="135"/>
      <c r="J279" s="135"/>
      <c r="K279" s="135"/>
    </row>
    <row r="280" ht="15.75" customHeight="1">
      <c r="C280" s="135"/>
      <c r="G280" s="135"/>
      <c r="H280" s="135"/>
      <c r="I280" s="135"/>
      <c r="J280" s="135"/>
      <c r="K280" s="135"/>
    </row>
    <row r="281" ht="15.75" customHeight="1">
      <c r="C281" s="135"/>
      <c r="G281" s="135"/>
      <c r="H281" s="135"/>
      <c r="I281" s="135"/>
      <c r="J281" s="135"/>
      <c r="K281" s="135"/>
    </row>
    <row r="282" ht="15.75" customHeight="1">
      <c r="C282" s="135"/>
      <c r="G282" s="135"/>
      <c r="H282" s="135"/>
      <c r="I282" s="135"/>
      <c r="J282" s="135"/>
      <c r="K282" s="135"/>
    </row>
    <row r="283" ht="15.75" customHeight="1">
      <c r="C283" s="135"/>
      <c r="G283" s="135"/>
      <c r="H283" s="135"/>
      <c r="I283" s="135"/>
      <c r="J283" s="135"/>
      <c r="K283" s="135"/>
    </row>
    <row r="284" ht="15.75" customHeight="1">
      <c r="C284" s="135"/>
      <c r="G284" s="135"/>
      <c r="H284" s="135"/>
      <c r="I284" s="135"/>
      <c r="J284" s="135"/>
      <c r="K284" s="135"/>
    </row>
    <row r="285" ht="15.75" customHeight="1">
      <c r="C285" s="135"/>
      <c r="G285" s="135"/>
      <c r="H285" s="135"/>
      <c r="I285" s="135"/>
      <c r="J285" s="135"/>
      <c r="K285" s="135"/>
    </row>
    <row r="286" ht="15.75" customHeight="1">
      <c r="C286" s="135"/>
      <c r="G286" s="135"/>
      <c r="H286" s="135"/>
      <c r="I286" s="135"/>
      <c r="J286" s="135"/>
      <c r="K286" s="135"/>
    </row>
    <row r="287" ht="15.75" customHeight="1">
      <c r="C287" s="135"/>
      <c r="G287" s="135"/>
      <c r="H287" s="135"/>
      <c r="I287" s="135"/>
      <c r="J287" s="135"/>
      <c r="K287" s="135"/>
    </row>
    <row r="288" ht="15.75" customHeight="1">
      <c r="C288" s="135"/>
      <c r="G288" s="135"/>
      <c r="H288" s="135"/>
      <c r="I288" s="135"/>
      <c r="J288" s="135"/>
      <c r="K288" s="135"/>
    </row>
    <row r="289" ht="15.75" customHeight="1">
      <c r="C289" s="135"/>
      <c r="G289" s="135"/>
      <c r="H289" s="135"/>
      <c r="I289" s="135"/>
      <c r="J289" s="135"/>
      <c r="K289" s="135"/>
    </row>
    <row r="290" ht="15.75" customHeight="1">
      <c r="C290" s="135"/>
      <c r="G290" s="135"/>
      <c r="H290" s="135"/>
      <c r="I290" s="135"/>
      <c r="J290" s="135"/>
      <c r="K290" s="135"/>
    </row>
    <row r="291" ht="15.75" customHeight="1">
      <c r="C291" s="135"/>
      <c r="G291" s="135"/>
      <c r="H291" s="135"/>
      <c r="I291" s="135"/>
      <c r="J291" s="135"/>
      <c r="K291" s="135"/>
    </row>
    <row r="292" ht="15.75" customHeight="1">
      <c r="C292" s="135"/>
      <c r="G292" s="135"/>
      <c r="H292" s="135"/>
      <c r="I292" s="135"/>
      <c r="J292" s="135"/>
      <c r="K292" s="135"/>
    </row>
    <row r="293" ht="15.75" customHeight="1">
      <c r="C293" s="135"/>
      <c r="G293" s="135"/>
      <c r="H293" s="135"/>
      <c r="I293" s="135"/>
      <c r="J293" s="135"/>
      <c r="K293" s="135"/>
    </row>
    <row r="294" ht="15.75" customHeight="1">
      <c r="C294" s="135"/>
      <c r="G294" s="135"/>
      <c r="H294" s="135"/>
      <c r="I294" s="135"/>
      <c r="J294" s="135"/>
      <c r="K294" s="135"/>
    </row>
    <row r="295" ht="15.75" customHeight="1">
      <c r="C295" s="135"/>
      <c r="G295" s="135"/>
      <c r="H295" s="135"/>
      <c r="I295" s="135"/>
      <c r="J295" s="135"/>
      <c r="K295" s="135"/>
    </row>
    <row r="296" ht="15.75" customHeight="1">
      <c r="C296" s="135"/>
      <c r="G296" s="135"/>
      <c r="H296" s="135"/>
      <c r="I296" s="135"/>
      <c r="J296" s="135"/>
      <c r="K296" s="135"/>
    </row>
    <row r="297" ht="15.75" customHeight="1">
      <c r="C297" s="135"/>
      <c r="G297" s="135"/>
      <c r="H297" s="135"/>
      <c r="I297" s="135"/>
      <c r="J297" s="135"/>
      <c r="K297" s="135"/>
    </row>
    <row r="298" ht="15.75" customHeight="1">
      <c r="C298" s="135"/>
      <c r="G298" s="135"/>
      <c r="H298" s="135"/>
      <c r="I298" s="135"/>
      <c r="J298" s="135"/>
      <c r="K298" s="135"/>
    </row>
    <row r="299" ht="15.75" customHeight="1">
      <c r="C299" s="135"/>
      <c r="G299" s="135"/>
      <c r="H299" s="135"/>
      <c r="I299" s="135"/>
      <c r="J299" s="135"/>
      <c r="K299" s="135"/>
    </row>
    <row r="300" ht="15.75" customHeight="1">
      <c r="C300" s="135"/>
      <c r="G300" s="135"/>
      <c r="H300" s="135"/>
      <c r="I300" s="135"/>
      <c r="J300" s="135"/>
      <c r="K300" s="135"/>
    </row>
    <row r="301" ht="15.75" customHeight="1">
      <c r="C301" s="135"/>
      <c r="G301" s="135"/>
      <c r="H301" s="135"/>
      <c r="I301" s="135"/>
      <c r="J301" s="135"/>
      <c r="K301" s="135"/>
    </row>
    <row r="302" ht="15.75" customHeight="1">
      <c r="C302" s="135"/>
      <c r="G302" s="135"/>
      <c r="H302" s="135"/>
      <c r="I302" s="135"/>
      <c r="J302" s="135"/>
      <c r="K302" s="135"/>
    </row>
    <row r="303" ht="15.75" customHeight="1">
      <c r="C303" s="135"/>
      <c r="G303" s="135"/>
      <c r="H303" s="135"/>
      <c r="I303" s="135"/>
      <c r="J303" s="135"/>
      <c r="K303" s="135"/>
    </row>
    <row r="304" ht="15.75" customHeight="1">
      <c r="C304" s="135"/>
      <c r="G304" s="135"/>
      <c r="H304" s="135"/>
      <c r="I304" s="135"/>
      <c r="J304" s="135"/>
      <c r="K304" s="135"/>
    </row>
    <row r="305" ht="15.75" customHeight="1">
      <c r="C305" s="135"/>
      <c r="G305" s="135"/>
      <c r="H305" s="135"/>
      <c r="I305" s="135"/>
      <c r="J305" s="135"/>
      <c r="K305" s="135"/>
    </row>
    <row r="306" ht="15.75" customHeight="1">
      <c r="C306" s="135"/>
      <c r="G306" s="135"/>
      <c r="H306" s="135"/>
      <c r="I306" s="135"/>
      <c r="J306" s="135"/>
      <c r="K306" s="135"/>
    </row>
    <row r="307" ht="15.75" customHeight="1">
      <c r="C307" s="135"/>
      <c r="G307" s="135"/>
      <c r="H307" s="135"/>
      <c r="I307" s="135"/>
      <c r="J307" s="135"/>
      <c r="K307" s="135"/>
    </row>
    <row r="308" ht="15.75" customHeight="1">
      <c r="C308" s="135"/>
      <c r="G308" s="135"/>
      <c r="H308" s="135"/>
      <c r="I308" s="135"/>
      <c r="J308" s="135"/>
      <c r="K308" s="135"/>
    </row>
    <row r="309" ht="15.75" customHeight="1">
      <c r="C309" s="135"/>
      <c r="G309" s="135"/>
      <c r="H309" s="135"/>
      <c r="I309" s="135"/>
      <c r="J309" s="135"/>
      <c r="K309" s="135"/>
    </row>
    <row r="310" ht="15.75" customHeight="1">
      <c r="C310" s="135"/>
      <c r="G310" s="135"/>
      <c r="H310" s="135"/>
      <c r="I310" s="135"/>
      <c r="J310" s="135"/>
      <c r="K310" s="135"/>
    </row>
    <row r="311" ht="15.75" customHeight="1">
      <c r="C311" s="135"/>
      <c r="G311" s="135"/>
      <c r="H311" s="135"/>
      <c r="I311" s="135"/>
      <c r="J311" s="135"/>
      <c r="K311" s="135"/>
    </row>
    <row r="312" ht="15.75" customHeight="1">
      <c r="C312" s="135"/>
      <c r="G312" s="135"/>
      <c r="H312" s="135"/>
      <c r="I312" s="135"/>
      <c r="J312" s="135"/>
      <c r="K312" s="135"/>
    </row>
    <row r="313" ht="15.75" customHeight="1">
      <c r="C313" s="135"/>
      <c r="G313" s="135"/>
      <c r="H313" s="135"/>
      <c r="I313" s="135"/>
      <c r="J313" s="135"/>
      <c r="K313" s="135"/>
    </row>
    <row r="314" ht="15.75" customHeight="1">
      <c r="C314" s="135"/>
      <c r="G314" s="135"/>
      <c r="H314" s="135"/>
      <c r="I314" s="135"/>
      <c r="J314" s="135"/>
      <c r="K314" s="135"/>
    </row>
    <row r="315" ht="15.75" customHeight="1">
      <c r="C315" s="135"/>
      <c r="G315" s="135"/>
      <c r="H315" s="135"/>
      <c r="I315" s="135"/>
      <c r="J315" s="135"/>
      <c r="K315" s="135"/>
    </row>
    <row r="316" ht="15.75" customHeight="1">
      <c r="C316" s="135"/>
      <c r="G316" s="135"/>
      <c r="H316" s="135"/>
      <c r="I316" s="135"/>
      <c r="J316" s="135"/>
      <c r="K316" s="135"/>
    </row>
    <row r="317" ht="15.75" customHeight="1">
      <c r="C317" s="135"/>
      <c r="G317" s="135"/>
      <c r="H317" s="135"/>
      <c r="I317" s="135"/>
      <c r="J317" s="135"/>
      <c r="K317" s="135"/>
    </row>
    <row r="318" ht="15.75" customHeight="1">
      <c r="C318" s="135"/>
      <c r="G318" s="135"/>
      <c r="H318" s="135"/>
      <c r="I318" s="135"/>
      <c r="J318" s="135"/>
      <c r="K318" s="135"/>
    </row>
    <row r="319" ht="15.75" customHeight="1">
      <c r="C319" s="135"/>
      <c r="G319" s="135"/>
      <c r="H319" s="135"/>
      <c r="I319" s="135"/>
      <c r="J319" s="135"/>
      <c r="K319" s="135"/>
    </row>
    <row r="320" ht="15.75" customHeight="1">
      <c r="C320" s="135"/>
      <c r="G320" s="135"/>
      <c r="H320" s="135"/>
      <c r="I320" s="135"/>
      <c r="J320" s="135"/>
      <c r="K320" s="135"/>
    </row>
    <row r="321" ht="15.75" customHeight="1">
      <c r="C321" s="135"/>
      <c r="G321" s="135"/>
      <c r="H321" s="135"/>
      <c r="I321" s="135"/>
      <c r="J321" s="135"/>
      <c r="K321" s="135"/>
    </row>
    <row r="322" ht="15.75" customHeight="1">
      <c r="C322" s="135"/>
      <c r="G322" s="135"/>
      <c r="H322" s="135"/>
      <c r="I322" s="135"/>
      <c r="J322" s="135"/>
      <c r="K322" s="135"/>
    </row>
    <row r="323" ht="15.75" customHeight="1">
      <c r="C323" s="135"/>
      <c r="G323" s="135"/>
      <c r="H323" s="135"/>
      <c r="I323" s="135"/>
      <c r="J323" s="135"/>
      <c r="K323" s="135"/>
    </row>
    <row r="324" ht="15.75" customHeight="1">
      <c r="C324" s="135"/>
      <c r="G324" s="135"/>
      <c r="H324" s="135"/>
      <c r="I324" s="135"/>
      <c r="J324" s="135"/>
      <c r="K324" s="135"/>
    </row>
    <row r="325" ht="15.75" customHeight="1">
      <c r="C325" s="135"/>
      <c r="G325" s="135"/>
      <c r="H325" s="135"/>
      <c r="I325" s="135"/>
      <c r="J325" s="135"/>
      <c r="K325" s="135"/>
    </row>
    <row r="326" ht="15.75" customHeight="1">
      <c r="C326" s="135"/>
      <c r="G326" s="135"/>
      <c r="H326" s="135"/>
      <c r="I326" s="135"/>
      <c r="J326" s="135"/>
      <c r="K326" s="135"/>
    </row>
    <row r="327" ht="15.75" customHeight="1">
      <c r="C327" s="135"/>
      <c r="G327" s="135"/>
      <c r="H327" s="135"/>
      <c r="I327" s="135"/>
      <c r="J327" s="135"/>
      <c r="K327" s="135"/>
    </row>
    <row r="328" ht="15.75" customHeight="1">
      <c r="C328" s="135"/>
      <c r="G328" s="135"/>
      <c r="H328" s="135"/>
      <c r="I328" s="135"/>
      <c r="J328" s="135"/>
      <c r="K328" s="135"/>
    </row>
    <row r="329" ht="15.75" customHeight="1">
      <c r="C329" s="135"/>
      <c r="G329" s="135"/>
      <c r="H329" s="135"/>
      <c r="I329" s="135"/>
      <c r="J329" s="135"/>
      <c r="K329" s="135"/>
    </row>
    <row r="330" ht="15.75" customHeight="1">
      <c r="C330" s="135"/>
      <c r="G330" s="135"/>
      <c r="H330" s="135"/>
      <c r="I330" s="135"/>
      <c r="J330" s="135"/>
      <c r="K330" s="135"/>
    </row>
    <row r="331" ht="15.75" customHeight="1">
      <c r="C331" s="135"/>
      <c r="G331" s="135"/>
      <c r="H331" s="135"/>
      <c r="I331" s="135"/>
      <c r="J331" s="135"/>
      <c r="K331" s="135"/>
    </row>
    <row r="332" ht="15.75" customHeight="1">
      <c r="C332" s="135"/>
      <c r="G332" s="135"/>
      <c r="H332" s="135"/>
      <c r="I332" s="135"/>
      <c r="J332" s="135"/>
      <c r="K332" s="135"/>
    </row>
    <row r="333" ht="15.75" customHeight="1">
      <c r="C333" s="135"/>
      <c r="G333" s="135"/>
      <c r="H333" s="135"/>
      <c r="I333" s="135"/>
      <c r="J333" s="135"/>
      <c r="K333" s="135"/>
    </row>
    <row r="334" ht="15.75" customHeight="1">
      <c r="C334" s="135"/>
      <c r="G334" s="135"/>
      <c r="H334" s="135"/>
      <c r="I334" s="135"/>
      <c r="J334" s="135"/>
      <c r="K334" s="135"/>
    </row>
    <row r="335" ht="15.75" customHeight="1">
      <c r="C335" s="135"/>
      <c r="G335" s="135"/>
      <c r="H335" s="135"/>
      <c r="I335" s="135"/>
      <c r="J335" s="135"/>
      <c r="K335" s="135"/>
    </row>
    <row r="336" ht="15.75" customHeight="1">
      <c r="C336" s="135"/>
      <c r="G336" s="135"/>
      <c r="H336" s="135"/>
      <c r="I336" s="135"/>
      <c r="J336" s="135"/>
      <c r="K336" s="135"/>
    </row>
    <row r="337" ht="15.75" customHeight="1">
      <c r="C337" s="135"/>
      <c r="G337" s="135"/>
      <c r="H337" s="135"/>
      <c r="I337" s="135"/>
      <c r="J337" s="135"/>
      <c r="K337" s="135"/>
    </row>
    <row r="338" ht="15.75" customHeight="1">
      <c r="C338" s="135"/>
      <c r="G338" s="135"/>
      <c r="H338" s="135"/>
      <c r="I338" s="135"/>
      <c r="J338" s="135"/>
      <c r="K338" s="135"/>
    </row>
    <row r="339" ht="15.75" customHeight="1">
      <c r="C339" s="135"/>
      <c r="G339" s="135"/>
      <c r="H339" s="135"/>
      <c r="I339" s="135"/>
      <c r="J339" s="135"/>
      <c r="K339" s="135"/>
    </row>
    <row r="340" ht="15.75" customHeight="1">
      <c r="C340" s="135"/>
      <c r="G340" s="135"/>
      <c r="H340" s="135"/>
      <c r="I340" s="135"/>
      <c r="J340" s="135"/>
      <c r="K340" s="135"/>
    </row>
    <row r="341" ht="15.75" customHeight="1">
      <c r="C341" s="135"/>
      <c r="G341" s="135"/>
      <c r="H341" s="135"/>
      <c r="I341" s="135"/>
      <c r="J341" s="135"/>
      <c r="K341" s="135"/>
    </row>
    <row r="342" ht="15.75" customHeight="1">
      <c r="C342" s="135"/>
      <c r="G342" s="135"/>
      <c r="H342" s="135"/>
      <c r="I342" s="135"/>
      <c r="J342" s="135"/>
      <c r="K342" s="135"/>
    </row>
    <row r="343" ht="15.75" customHeight="1">
      <c r="C343" s="135"/>
      <c r="G343" s="135"/>
      <c r="H343" s="135"/>
      <c r="I343" s="135"/>
      <c r="J343" s="135"/>
      <c r="K343" s="135"/>
    </row>
    <row r="344" ht="15.75" customHeight="1">
      <c r="C344" s="135"/>
      <c r="G344" s="135"/>
      <c r="H344" s="135"/>
      <c r="I344" s="135"/>
      <c r="J344" s="135"/>
      <c r="K344" s="135"/>
    </row>
    <row r="345" ht="15.75" customHeight="1">
      <c r="C345" s="135"/>
      <c r="G345" s="135"/>
      <c r="H345" s="135"/>
      <c r="I345" s="135"/>
      <c r="J345" s="135"/>
      <c r="K345" s="135"/>
    </row>
    <row r="346" ht="15.75" customHeight="1">
      <c r="C346" s="135"/>
      <c r="G346" s="135"/>
      <c r="H346" s="135"/>
      <c r="I346" s="135"/>
      <c r="J346" s="135"/>
      <c r="K346" s="135"/>
    </row>
    <row r="347" ht="15.75" customHeight="1">
      <c r="C347" s="135"/>
      <c r="G347" s="135"/>
      <c r="H347" s="135"/>
      <c r="I347" s="135"/>
      <c r="J347" s="135"/>
      <c r="K347" s="135"/>
    </row>
    <row r="348" ht="15.75" customHeight="1">
      <c r="C348" s="135"/>
      <c r="G348" s="135"/>
      <c r="H348" s="135"/>
      <c r="I348" s="135"/>
      <c r="J348" s="135"/>
      <c r="K348" s="135"/>
    </row>
    <row r="349" ht="15.75" customHeight="1">
      <c r="C349" s="135"/>
      <c r="G349" s="135"/>
      <c r="H349" s="135"/>
      <c r="I349" s="135"/>
      <c r="J349" s="135"/>
      <c r="K349" s="135"/>
    </row>
    <row r="350" ht="15.75" customHeight="1">
      <c r="C350" s="135"/>
      <c r="G350" s="135"/>
      <c r="H350" s="135"/>
      <c r="I350" s="135"/>
      <c r="J350" s="135"/>
      <c r="K350" s="135"/>
    </row>
    <row r="351" ht="15.75" customHeight="1">
      <c r="C351" s="135"/>
      <c r="G351" s="135"/>
      <c r="H351" s="135"/>
      <c r="I351" s="135"/>
      <c r="J351" s="135"/>
      <c r="K351" s="135"/>
    </row>
    <row r="352" ht="15.75" customHeight="1">
      <c r="C352" s="135"/>
      <c r="G352" s="135"/>
      <c r="H352" s="135"/>
      <c r="I352" s="135"/>
      <c r="J352" s="135"/>
      <c r="K352" s="135"/>
    </row>
    <row r="353" ht="15.75" customHeight="1">
      <c r="C353" s="135"/>
      <c r="G353" s="135"/>
      <c r="H353" s="135"/>
      <c r="I353" s="135"/>
      <c r="J353" s="135"/>
      <c r="K353" s="135"/>
    </row>
    <row r="354" ht="15.75" customHeight="1">
      <c r="C354" s="135"/>
      <c r="G354" s="135"/>
      <c r="H354" s="135"/>
      <c r="I354" s="135"/>
      <c r="J354" s="135"/>
      <c r="K354" s="135"/>
    </row>
    <row r="355" ht="15.75" customHeight="1">
      <c r="C355" s="135"/>
      <c r="G355" s="135"/>
      <c r="H355" s="135"/>
      <c r="I355" s="135"/>
      <c r="J355" s="135"/>
      <c r="K355" s="135"/>
    </row>
    <row r="356" ht="15.75" customHeight="1">
      <c r="C356" s="135"/>
      <c r="G356" s="135"/>
      <c r="H356" s="135"/>
      <c r="I356" s="135"/>
      <c r="J356" s="135"/>
      <c r="K356" s="135"/>
    </row>
    <row r="357" ht="15.75" customHeight="1">
      <c r="C357" s="135"/>
      <c r="G357" s="135"/>
      <c r="H357" s="135"/>
      <c r="I357" s="135"/>
      <c r="J357" s="135"/>
      <c r="K357" s="135"/>
    </row>
    <row r="358" ht="15.75" customHeight="1">
      <c r="C358" s="135"/>
      <c r="G358" s="135"/>
      <c r="H358" s="135"/>
      <c r="I358" s="135"/>
      <c r="J358" s="135"/>
      <c r="K358" s="135"/>
    </row>
    <row r="359" ht="15.75" customHeight="1">
      <c r="C359" s="135"/>
      <c r="G359" s="135"/>
      <c r="H359" s="135"/>
      <c r="I359" s="135"/>
      <c r="J359" s="135"/>
      <c r="K359" s="135"/>
    </row>
    <row r="360" ht="15.75" customHeight="1">
      <c r="C360" s="135"/>
      <c r="G360" s="135"/>
      <c r="H360" s="135"/>
      <c r="I360" s="135"/>
      <c r="J360" s="135"/>
      <c r="K360" s="135"/>
    </row>
    <row r="361" ht="15.75" customHeight="1">
      <c r="C361" s="135"/>
      <c r="G361" s="135"/>
      <c r="H361" s="135"/>
      <c r="I361" s="135"/>
      <c r="J361" s="135"/>
      <c r="K361" s="135"/>
    </row>
    <row r="362" ht="15.75" customHeight="1">
      <c r="C362" s="135"/>
      <c r="G362" s="135"/>
      <c r="H362" s="135"/>
      <c r="I362" s="135"/>
      <c r="J362" s="135"/>
      <c r="K362" s="135"/>
    </row>
    <row r="363" ht="15.75" customHeight="1">
      <c r="C363" s="135"/>
      <c r="G363" s="135"/>
      <c r="H363" s="135"/>
      <c r="I363" s="135"/>
      <c r="J363" s="135"/>
      <c r="K363" s="135"/>
    </row>
    <row r="364" ht="15.75" customHeight="1">
      <c r="C364" s="135"/>
      <c r="G364" s="135"/>
      <c r="H364" s="135"/>
      <c r="I364" s="135"/>
      <c r="J364" s="135"/>
      <c r="K364" s="135"/>
    </row>
    <row r="365" ht="15.75" customHeight="1">
      <c r="C365" s="135"/>
      <c r="G365" s="135"/>
      <c r="H365" s="135"/>
      <c r="I365" s="135"/>
      <c r="J365" s="135"/>
      <c r="K365" s="135"/>
    </row>
    <row r="366" ht="15.75" customHeight="1">
      <c r="C366" s="135"/>
      <c r="G366" s="135"/>
      <c r="H366" s="135"/>
      <c r="I366" s="135"/>
      <c r="J366" s="135"/>
      <c r="K366" s="135"/>
    </row>
    <row r="367" ht="15.75" customHeight="1">
      <c r="C367" s="135"/>
      <c r="G367" s="135"/>
      <c r="H367" s="135"/>
      <c r="I367" s="135"/>
      <c r="J367" s="135"/>
      <c r="K367" s="135"/>
    </row>
    <row r="368" ht="15.75" customHeight="1">
      <c r="C368" s="135"/>
      <c r="G368" s="135"/>
      <c r="H368" s="135"/>
      <c r="I368" s="135"/>
      <c r="J368" s="135"/>
      <c r="K368" s="135"/>
    </row>
    <row r="369" ht="15.75" customHeight="1">
      <c r="C369" s="135"/>
      <c r="G369" s="135"/>
      <c r="H369" s="135"/>
      <c r="I369" s="135"/>
      <c r="J369" s="135"/>
      <c r="K369" s="135"/>
    </row>
    <row r="370" ht="15.75" customHeight="1">
      <c r="C370" s="135"/>
      <c r="G370" s="135"/>
      <c r="H370" s="135"/>
      <c r="I370" s="135"/>
      <c r="J370" s="135"/>
      <c r="K370" s="135"/>
    </row>
    <row r="371" ht="15.75" customHeight="1">
      <c r="C371" s="135"/>
      <c r="G371" s="135"/>
      <c r="H371" s="135"/>
      <c r="I371" s="135"/>
      <c r="J371" s="135"/>
      <c r="K371" s="135"/>
    </row>
    <row r="372" ht="15.75" customHeight="1">
      <c r="C372" s="135"/>
      <c r="G372" s="135"/>
      <c r="H372" s="135"/>
      <c r="I372" s="135"/>
      <c r="J372" s="135"/>
      <c r="K372" s="135"/>
    </row>
    <row r="373" ht="15.75" customHeight="1">
      <c r="C373" s="135"/>
      <c r="G373" s="135"/>
      <c r="H373" s="135"/>
      <c r="I373" s="135"/>
      <c r="J373" s="135"/>
      <c r="K373" s="135"/>
    </row>
    <row r="374" ht="15.75" customHeight="1">
      <c r="C374" s="135"/>
      <c r="G374" s="135"/>
      <c r="H374" s="135"/>
      <c r="I374" s="135"/>
      <c r="J374" s="135"/>
      <c r="K374" s="135"/>
    </row>
    <row r="375" ht="15.75" customHeight="1">
      <c r="C375" s="135"/>
      <c r="G375" s="135"/>
      <c r="H375" s="135"/>
      <c r="I375" s="135"/>
      <c r="J375" s="135"/>
      <c r="K375" s="135"/>
    </row>
    <row r="376" ht="15.75" customHeight="1">
      <c r="C376" s="135"/>
      <c r="G376" s="135"/>
      <c r="H376" s="135"/>
      <c r="I376" s="135"/>
      <c r="J376" s="135"/>
      <c r="K376" s="135"/>
    </row>
    <row r="377" ht="15.75" customHeight="1">
      <c r="C377" s="135"/>
      <c r="G377" s="135"/>
      <c r="H377" s="135"/>
      <c r="I377" s="135"/>
      <c r="J377" s="135"/>
      <c r="K377" s="135"/>
    </row>
    <row r="378" ht="15.75" customHeight="1">
      <c r="C378" s="135"/>
      <c r="G378" s="135"/>
      <c r="H378" s="135"/>
      <c r="I378" s="135"/>
      <c r="J378" s="135"/>
      <c r="K378" s="135"/>
    </row>
    <row r="379" ht="15.75" customHeight="1">
      <c r="C379" s="135"/>
      <c r="G379" s="135"/>
      <c r="H379" s="135"/>
      <c r="I379" s="135"/>
      <c r="J379" s="135"/>
      <c r="K379" s="135"/>
    </row>
    <row r="380" ht="15.75" customHeight="1">
      <c r="C380" s="135"/>
      <c r="G380" s="135"/>
      <c r="H380" s="135"/>
      <c r="I380" s="135"/>
      <c r="J380" s="135"/>
      <c r="K380" s="135"/>
    </row>
    <row r="381" ht="15.75" customHeight="1">
      <c r="C381" s="135"/>
      <c r="G381" s="135"/>
      <c r="H381" s="135"/>
      <c r="I381" s="135"/>
      <c r="J381" s="135"/>
      <c r="K381" s="135"/>
    </row>
    <row r="382" ht="15.75" customHeight="1">
      <c r="C382" s="135"/>
      <c r="G382" s="135"/>
      <c r="H382" s="135"/>
      <c r="I382" s="135"/>
      <c r="J382" s="135"/>
      <c r="K382" s="135"/>
    </row>
    <row r="383" ht="15.75" customHeight="1">
      <c r="C383" s="135"/>
      <c r="G383" s="135"/>
      <c r="H383" s="135"/>
      <c r="I383" s="135"/>
      <c r="J383" s="135"/>
      <c r="K383" s="135"/>
    </row>
    <row r="384" ht="15.75" customHeight="1">
      <c r="C384" s="135"/>
      <c r="G384" s="135"/>
      <c r="H384" s="135"/>
      <c r="I384" s="135"/>
      <c r="J384" s="135"/>
      <c r="K384" s="135"/>
    </row>
    <row r="385" ht="15.75" customHeight="1">
      <c r="C385" s="135"/>
      <c r="G385" s="135"/>
      <c r="H385" s="135"/>
      <c r="I385" s="135"/>
      <c r="J385" s="135"/>
      <c r="K385" s="135"/>
    </row>
    <row r="386" ht="15.75" customHeight="1">
      <c r="C386" s="135"/>
      <c r="G386" s="135"/>
      <c r="H386" s="135"/>
      <c r="I386" s="135"/>
      <c r="J386" s="135"/>
      <c r="K386" s="135"/>
    </row>
    <row r="387" ht="15.75" customHeight="1">
      <c r="C387" s="135"/>
      <c r="G387" s="135"/>
      <c r="H387" s="135"/>
      <c r="I387" s="135"/>
      <c r="J387" s="135"/>
      <c r="K387" s="135"/>
    </row>
    <row r="388" ht="15.75" customHeight="1">
      <c r="C388" s="135"/>
      <c r="G388" s="135"/>
      <c r="H388" s="135"/>
      <c r="I388" s="135"/>
      <c r="J388" s="135"/>
      <c r="K388" s="135"/>
    </row>
    <row r="389" ht="15.75" customHeight="1">
      <c r="C389" s="135"/>
      <c r="G389" s="135"/>
      <c r="H389" s="135"/>
      <c r="I389" s="135"/>
      <c r="J389" s="135"/>
      <c r="K389" s="135"/>
    </row>
    <row r="390" ht="15.75" customHeight="1">
      <c r="C390" s="135"/>
      <c r="G390" s="135"/>
      <c r="H390" s="135"/>
      <c r="I390" s="135"/>
      <c r="J390" s="135"/>
      <c r="K390" s="135"/>
    </row>
    <row r="391" ht="15.75" customHeight="1">
      <c r="C391" s="135"/>
      <c r="G391" s="135"/>
      <c r="H391" s="135"/>
      <c r="I391" s="135"/>
      <c r="J391" s="135"/>
      <c r="K391" s="135"/>
    </row>
    <row r="392" ht="15.75" customHeight="1">
      <c r="C392" s="135"/>
      <c r="G392" s="135"/>
      <c r="H392" s="135"/>
      <c r="I392" s="135"/>
      <c r="J392" s="135"/>
      <c r="K392" s="135"/>
    </row>
    <row r="393" ht="15.75" customHeight="1">
      <c r="C393" s="135"/>
      <c r="G393" s="135"/>
      <c r="H393" s="135"/>
      <c r="I393" s="135"/>
      <c r="J393" s="135"/>
      <c r="K393" s="135"/>
    </row>
    <row r="394" ht="15.75" customHeight="1">
      <c r="C394" s="135"/>
      <c r="G394" s="135"/>
      <c r="H394" s="135"/>
      <c r="I394" s="135"/>
      <c r="J394" s="135"/>
      <c r="K394" s="135"/>
    </row>
    <row r="395" ht="15.75" customHeight="1">
      <c r="C395" s="135"/>
      <c r="G395" s="135"/>
      <c r="H395" s="135"/>
      <c r="I395" s="135"/>
      <c r="J395" s="135"/>
      <c r="K395" s="135"/>
    </row>
    <row r="396" ht="15.75" customHeight="1">
      <c r="C396" s="135"/>
      <c r="G396" s="135"/>
      <c r="H396" s="135"/>
      <c r="I396" s="135"/>
      <c r="J396" s="135"/>
      <c r="K396" s="135"/>
    </row>
    <row r="397" ht="15.75" customHeight="1">
      <c r="C397" s="135"/>
      <c r="G397" s="135"/>
      <c r="H397" s="135"/>
      <c r="I397" s="135"/>
      <c r="J397" s="135"/>
      <c r="K397" s="135"/>
    </row>
    <row r="398" ht="15.75" customHeight="1">
      <c r="C398" s="135"/>
      <c r="G398" s="135"/>
      <c r="H398" s="135"/>
      <c r="I398" s="135"/>
      <c r="J398" s="135"/>
      <c r="K398" s="135"/>
    </row>
    <row r="399" ht="15.75" customHeight="1">
      <c r="C399" s="135"/>
      <c r="G399" s="135"/>
      <c r="H399" s="135"/>
      <c r="I399" s="135"/>
      <c r="J399" s="135"/>
      <c r="K399" s="135"/>
    </row>
    <row r="400" ht="15.75" customHeight="1">
      <c r="C400" s="135"/>
      <c r="G400" s="135"/>
      <c r="H400" s="135"/>
      <c r="I400" s="135"/>
      <c r="J400" s="135"/>
      <c r="K400" s="135"/>
    </row>
    <row r="401" ht="15.75" customHeight="1">
      <c r="C401" s="135"/>
      <c r="G401" s="135"/>
      <c r="H401" s="135"/>
      <c r="I401" s="135"/>
      <c r="J401" s="135"/>
      <c r="K401" s="135"/>
    </row>
    <row r="402" ht="15.75" customHeight="1">
      <c r="C402" s="135"/>
      <c r="G402" s="135"/>
      <c r="H402" s="135"/>
      <c r="I402" s="135"/>
      <c r="J402" s="135"/>
      <c r="K402" s="135"/>
    </row>
    <row r="403" ht="15.75" customHeight="1">
      <c r="C403" s="135"/>
      <c r="G403" s="135"/>
      <c r="H403" s="135"/>
      <c r="I403" s="135"/>
      <c r="J403" s="135"/>
      <c r="K403" s="135"/>
    </row>
    <row r="404" ht="15.75" customHeight="1">
      <c r="C404" s="135"/>
      <c r="G404" s="135"/>
      <c r="H404" s="135"/>
      <c r="I404" s="135"/>
      <c r="J404" s="135"/>
      <c r="K404" s="135"/>
    </row>
    <row r="405" ht="15.75" customHeight="1">
      <c r="C405" s="135"/>
      <c r="G405" s="135"/>
      <c r="H405" s="135"/>
      <c r="I405" s="135"/>
      <c r="J405" s="135"/>
      <c r="K405" s="135"/>
    </row>
    <row r="406" ht="15.75" customHeight="1">
      <c r="C406" s="135"/>
      <c r="G406" s="135"/>
      <c r="H406" s="135"/>
      <c r="I406" s="135"/>
      <c r="J406" s="135"/>
      <c r="K406" s="135"/>
    </row>
    <row r="407" ht="15.75" customHeight="1">
      <c r="C407" s="135"/>
      <c r="G407" s="135"/>
      <c r="H407" s="135"/>
      <c r="I407" s="135"/>
      <c r="J407" s="135"/>
      <c r="K407" s="135"/>
    </row>
    <row r="408" ht="15.75" customHeight="1">
      <c r="C408" s="135"/>
      <c r="G408" s="135"/>
      <c r="H408" s="135"/>
      <c r="I408" s="135"/>
      <c r="J408" s="135"/>
      <c r="K408" s="135"/>
    </row>
    <row r="409" ht="15.75" customHeight="1">
      <c r="C409" s="135"/>
      <c r="G409" s="135"/>
      <c r="H409" s="135"/>
      <c r="I409" s="135"/>
      <c r="J409" s="135"/>
      <c r="K409" s="135"/>
    </row>
    <row r="410" ht="15.75" customHeight="1">
      <c r="C410" s="135"/>
      <c r="G410" s="135"/>
      <c r="H410" s="135"/>
      <c r="I410" s="135"/>
      <c r="J410" s="135"/>
      <c r="K410" s="135"/>
    </row>
    <row r="411" ht="15.75" customHeight="1">
      <c r="C411" s="135"/>
      <c r="G411" s="135"/>
      <c r="H411" s="135"/>
      <c r="I411" s="135"/>
      <c r="J411" s="135"/>
      <c r="K411" s="135"/>
    </row>
    <row r="412" ht="15.75" customHeight="1">
      <c r="C412" s="135"/>
      <c r="G412" s="135"/>
      <c r="H412" s="135"/>
      <c r="I412" s="135"/>
      <c r="J412" s="135"/>
      <c r="K412" s="135"/>
    </row>
    <row r="413" ht="15.75" customHeight="1">
      <c r="C413" s="135"/>
      <c r="G413" s="135"/>
      <c r="H413" s="135"/>
      <c r="I413" s="135"/>
      <c r="J413" s="135"/>
      <c r="K413" s="135"/>
    </row>
    <row r="414" ht="15.75" customHeight="1">
      <c r="C414" s="135"/>
      <c r="G414" s="135"/>
      <c r="H414" s="135"/>
      <c r="I414" s="135"/>
      <c r="J414" s="135"/>
      <c r="K414" s="135"/>
    </row>
    <row r="415" ht="15.75" customHeight="1">
      <c r="C415" s="135"/>
      <c r="G415" s="135"/>
      <c r="H415" s="135"/>
      <c r="I415" s="135"/>
      <c r="J415" s="135"/>
      <c r="K415" s="135"/>
    </row>
    <row r="416" ht="15.75" customHeight="1">
      <c r="C416" s="135"/>
      <c r="G416" s="135"/>
      <c r="H416" s="135"/>
      <c r="I416" s="135"/>
      <c r="J416" s="135"/>
      <c r="K416" s="135"/>
    </row>
    <row r="417" ht="15.75" customHeight="1">
      <c r="C417" s="135"/>
      <c r="G417" s="135"/>
      <c r="H417" s="135"/>
      <c r="I417" s="135"/>
      <c r="J417" s="135"/>
      <c r="K417" s="135"/>
    </row>
    <row r="418" ht="15.75" customHeight="1">
      <c r="C418" s="135"/>
      <c r="G418" s="135"/>
      <c r="H418" s="135"/>
      <c r="I418" s="135"/>
      <c r="J418" s="135"/>
      <c r="K418" s="135"/>
    </row>
    <row r="419" ht="15.75" customHeight="1">
      <c r="C419" s="135"/>
      <c r="G419" s="135"/>
      <c r="H419" s="135"/>
      <c r="I419" s="135"/>
      <c r="J419" s="135"/>
      <c r="K419" s="135"/>
    </row>
    <row r="420" ht="15.75" customHeight="1">
      <c r="C420" s="135"/>
      <c r="G420" s="135"/>
      <c r="H420" s="135"/>
      <c r="I420" s="135"/>
      <c r="J420" s="135"/>
      <c r="K420" s="135"/>
    </row>
    <row r="421" ht="15.75" customHeight="1">
      <c r="C421" s="135"/>
      <c r="G421" s="135"/>
      <c r="H421" s="135"/>
      <c r="I421" s="135"/>
      <c r="J421" s="135"/>
      <c r="K421" s="135"/>
    </row>
    <row r="422" ht="15.75" customHeight="1">
      <c r="C422" s="135"/>
      <c r="G422" s="135"/>
      <c r="H422" s="135"/>
      <c r="I422" s="135"/>
      <c r="J422" s="135"/>
      <c r="K422" s="135"/>
    </row>
    <row r="423" ht="15.75" customHeight="1">
      <c r="C423" s="135"/>
      <c r="G423" s="135"/>
      <c r="H423" s="135"/>
      <c r="I423" s="135"/>
      <c r="J423" s="135"/>
      <c r="K423" s="135"/>
    </row>
    <row r="424" ht="15.75" customHeight="1">
      <c r="C424" s="135"/>
      <c r="G424" s="135"/>
      <c r="H424" s="135"/>
      <c r="I424" s="135"/>
      <c r="J424" s="135"/>
      <c r="K424" s="135"/>
    </row>
    <row r="425" ht="15.75" customHeight="1">
      <c r="C425" s="135"/>
      <c r="G425" s="135"/>
      <c r="H425" s="135"/>
      <c r="I425" s="135"/>
      <c r="J425" s="135"/>
      <c r="K425" s="135"/>
    </row>
    <row r="426" ht="15.75" customHeight="1">
      <c r="C426" s="135"/>
      <c r="G426" s="135"/>
      <c r="H426" s="135"/>
      <c r="I426" s="135"/>
      <c r="J426" s="135"/>
      <c r="K426" s="135"/>
    </row>
    <row r="427" ht="15.75" customHeight="1">
      <c r="C427" s="135"/>
      <c r="G427" s="135"/>
      <c r="H427" s="135"/>
      <c r="I427" s="135"/>
      <c r="J427" s="135"/>
      <c r="K427" s="135"/>
    </row>
    <row r="428" ht="15.75" customHeight="1">
      <c r="C428" s="135"/>
      <c r="G428" s="135"/>
      <c r="H428" s="135"/>
      <c r="I428" s="135"/>
      <c r="J428" s="135"/>
      <c r="K428" s="135"/>
    </row>
    <row r="429" ht="15.75" customHeight="1">
      <c r="C429" s="135"/>
      <c r="G429" s="135"/>
      <c r="H429" s="135"/>
      <c r="I429" s="135"/>
      <c r="J429" s="135"/>
      <c r="K429" s="135"/>
    </row>
    <row r="430" ht="15.75" customHeight="1">
      <c r="C430" s="135"/>
      <c r="G430" s="135"/>
      <c r="H430" s="135"/>
      <c r="I430" s="135"/>
      <c r="J430" s="135"/>
      <c r="K430" s="135"/>
    </row>
    <row r="431" ht="15.75" customHeight="1">
      <c r="C431" s="135"/>
      <c r="G431" s="135"/>
      <c r="H431" s="135"/>
      <c r="I431" s="135"/>
      <c r="J431" s="135"/>
      <c r="K431" s="135"/>
    </row>
    <row r="432" ht="15.75" customHeight="1">
      <c r="C432" s="135"/>
      <c r="G432" s="135"/>
      <c r="H432" s="135"/>
      <c r="I432" s="135"/>
      <c r="J432" s="135"/>
      <c r="K432" s="135"/>
    </row>
    <row r="433" ht="15.75" customHeight="1">
      <c r="C433" s="135"/>
      <c r="G433" s="135"/>
      <c r="H433" s="135"/>
      <c r="I433" s="135"/>
      <c r="J433" s="135"/>
      <c r="K433" s="135"/>
    </row>
    <row r="434" ht="15.75" customHeight="1">
      <c r="C434" s="135"/>
      <c r="G434" s="135"/>
      <c r="H434" s="135"/>
      <c r="I434" s="135"/>
      <c r="J434" s="135"/>
      <c r="K434" s="135"/>
    </row>
    <row r="435" ht="15.75" customHeight="1">
      <c r="C435" s="135"/>
      <c r="G435" s="135"/>
      <c r="H435" s="135"/>
      <c r="I435" s="135"/>
      <c r="J435" s="135"/>
      <c r="K435" s="135"/>
    </row>
    <row r="436" ht="15.75" customHeight="1">
      <c r="C436" s="135"/>
      <c r="G436" s="135"/>
      <c r="H436" s="135"/>
      <c r="I436" s="135"/>
      <c r="J436" s="135"/>
      <c r="K436" s="135"/>
    </row>
    <row r="437" ht="15.75" customHeight="1">
      <c r="C437" s="135"/>
      <c r="G437" s="135"/>
      <c r="H437" s="135"/>
      <c r="I437" s="135"/>
      <c r="J437" s="135"/>
      <c r="K437" s="135"/>
    </row>
    <row r="438" ht="15.75" customHeight="1">
      <c r="C438" s="135"/>
      <c r="G438" s="135"/>
      <c r="H438" s="135"/>
      <c r="I438" s="135"/>
      <c r="J438" s="135"/>
      <c r="K438" s="135"/>
    </row>
    <row r="439" ht="15.75" customHeight="1">
      <c r="C439" s="135"/>
      <c r="G439" s="135"/>
      <c r="H439" s="135"/>
      <c r="I439" s="135"/>
      <c r="J439" s="135"/>
      <c r="K439" s="135"/>
    </row>
    <row r="440" ht="15.75" customHeight="1">
      <c r="C440" s="135"/>
      <c r="G440" s="135"/>
      <c r="H440" s="135"/>
      <c r="I440" s="135"/>
      <c r="J440" s="135"/>
      <c r="K440" s="135"/>
    </row>
    <row r="441" ht="15.75" customHeight="1">
      <c r="C441" s="135"/>
      <c r="G441" s="135"/>
      <c r="H441" s="135"/>
      <c r="I441" s="135"/>
      <c r="J441" s="135"/>
      <c r="K441" s="135"/>
    </row>
    <row r="442" ht="15.75" customHeight="1">
      <c r="C442" s="135"/>
      <c r="G442" s="135"/>
      <c r="H442" s="135"/>
      <c r="I442" s="135"/>
      <c r="J442" s="135"/>
      <c r="K442" s="135"/>
    </row>
    <row r="443" ht="15.75" customHeight="1">
      <c r="C443" s="135"/>
      <c r="G443" s="135"/>
      <c r="H443" s="135"/>
      <c r="I443" s="135"/>
      <c r="J443" s="135"/>
      <c r="K443" s="135"/>
    </row>
    <row r="444" ht="15.75" customHeight="1">
      <c r="C444" s="135"/>
      <c r="G444" s="135"/>
      <c r="H444" s="135"/>
      <c r="I444" s="135"/>
      <c r="J444" s="135"/>
      <c r="K444" s="135"/>
    </row>
    <row r="445" ht="15.75" customHeight="1">
      <c r="C445" s="135"/>
      <c r="G445" s="135"/>
      <c r="H445" s="135"/>
      <c r="I445" s="135"/>
      <c r="J445" s="135"/>
      <c r="K445" s="135"/>
    </row>
    <row r="446" ht="15.75" customHeight="1">
      <c r="C446" s="135"/>
      <c r="G446" s="135"/>
      <c r="H446" s="135"/>
      <c r="I446" s="135"/>
      <c r="J446" s="135"/>
      <c r="K446" s="135"/>
    </row>
    <row r="447" ht="15.75" customHeight="1">
      <c r="C447" s="135"/>
      <c r="G447" s="135"/>
      <c r="H447" s="135"/>
      <c r="I447" s="135"/>
      <c r="J447" s="135"/>
      <c r="K447" s="135"/>
    </row>
    <row r="448" ht="15.75" customHeight="1">
      <c r="C448" s="135"/>
      <c r="G448" s="135"/>
      <c r="H448" s="135"/>
      <c r="I448" s="135"/>
      <c r="J448" s="135"/>
      <c r="K448" s="135"/>
    </row>
    <row r="449" ht="15.75" customHeight="1">
      <c r="C449" s="135"/>
      <c r="G449" s="135"/>
      <c r="H449" s="135"/>
      <c r="I449" s="135"/>
      <c r="J449" s="135"/>
      <c r="K449" s="135"/>
    </row>
    <row r="450" ht="15.75" customHeight="1">
      <c r="C450" s="135"/>
      <c r="G450" s="135"/>
      <c r="H450" s="135"/>
      <c r="I450" s="135"/>
      <c r="J450" s="135"/>
      <c r="K450" s="135"/>
    </row>
    <row r="451" ht="15.75" customHeight="1">
      <c r="C451" s="135"/>
      <c r="G451" s="135"/>
      <c r="H451" s="135"/>
      <c r="I451" s="135"/>
      <c r="J451" s="135"/>
      <c r="K451" s="135"/>
    </row>
    <row r="452" ht="15.75" customHeight="1">
      <c r="C452" s="135"/>
      <c r="G452" s="135"/>
      <c r="H452" s="135"/>
      <c r="I452" s="135"/>
      <c r="J452" s="135"/>
      <c r="K452" s="135"/>
    </row>
    <row r="453" ht="15.75" customHeight="1">
      <c r="C453" s="135"/>
      <c r="G453" s="135"/>
      <c r="H453" s="135"/>
      <c r="I453" s="135"/>
      <c r="J453" s="135"/>
      <c r="K453" s="135"/>
    </row>
    <row r="454" ht="15.75" customHeight="1">
      <c r="C454" s="135"/>
      <c r="G454" s="135"/>
      <c r="H454" s="135"/>
      <c r="I454" s="135"/>
      <c r="J454" s="135"/>
      <c r="K454" s="135"/>
    </row>
    <row r="455" ht="15.75" customHeight="1">
      <c r="C455" s="135"/>
      <c r="G455" s="135"/>
      <c r="H455" s="135"/>
      <c r="I455" s="135"/>
      <c r="J455" s="135"/>
      <c r="K455" s="135"/>
    </row>
    <row r="456" ht="15.75" customHeight="1">
      <c r="C456" s="135"/>
      <c r="G456" s="135"/>
      <c r="H456" s="135"/>
      <c r="I456" s="135"/>
      <c r="J456" s="135"/>
      <c r="K456" s="135"/>
    </row>
    <row r="457" ht="15.75" customHeight="1">
      <c r="C457" s="135"/>
      <c r="G457" s="135"/>
      <c r="H457" s="135"/>
      <c r="I457" s="135"/>
      <c r="J457" s="135"/>
      <c r="K457" s="135"/>
    </row>
    <row r="458" ht="15.75" customHeight="1">
      <c r="C458" s="135"/>
      <c r="G458" s="135"/>
      <c r="H458" s="135"/>
      <c r="I458" s="135"/>
      <c r="J458" s="135"/>
      <c r="K458" s="135"/>
    </row>
    <row r="459" ht="15.75" customHeight="1">
      <c r="C459" s="135"/>
      <c r="G459" s="135"/>
      <c r="H459" s="135"/>
      <c r="I459" s="135"/>
      <c r="J459" s="135"/>
      <c r="K459" s="135"/>
    </row>
    <row r="460" ht="15.75" customHeight="1">
      <c r="C460" s="135"/>
      <c r="G460" s="135"/>
      <c r="H460" s="135"/>
      <c r="I460" s="135"/>
      <c r="J460" s="135"/>
      <c r="K460" s="135"/>
    </row>
    <row r="461" ht="15.75" customHeight="1">
      <c r="C461" s="135"/>
      <c r="G461" s="135"/>
      <c r="H461" s="135"/>
      <c r="I461" s="135"/>
      <c r="J461" s="135"/>
      <c r="K461" s="135"/>
    </row>
    <row r="462" ht="15.75" customHeight="1">
      <c r="C462" s="135"/>
      <c r="G462" s="135"/>
      <c r="H462" s="135"/>
      <c r="I462" s="135"/>
      <c r="J462" s="135"/>
      <c r="K462" s="135"/>
    </row>
    <row r="463" ht="15.75" customHeight="1">
      <c r="C463" s="135"/>
      <c r="G463" s="135"/>
      <c r="H463" s="135"/>
      <c r="I463" s="135"/>
      <c r="J463" s="135"/>
      <c r="K463" s="135"/>
    </row>
    <row r="464" ht="15.75" customHeight="1">
      <c r="C464" s="135"/>
      <c r="G464" s="135"/>
      <c r="H464" s="135"/>
      <c r="I464" s="135"/>
      <c r="J464" s="135"/>
      <c r="K464" s="135"/>
    </row>
    <row r="465" ht="15.75" customHeight="1">
      <c r="C465" s="135"/>
      <c r="G465" s="135"/>
      <c r="H465" s="135"/>
      <c r="I465" s="135"/>
      <c r="J465" s="135"/>
      <c r="K465" s="135"/>
    </row>
    <row r="466" ht="15.75" customHeight="1">
      <c r="C466" s="135"/>
      <c r="G466" s="135"/>
      <c r="H466" s="135"/>
      <c r="I466" s="135"/>
      <c r="J466" s="135"/>
      <c r="K466" s="135"/>
    </row>
    <row r="467" ht="15.75" customHeight="1">
      <c r="C467" s="135"/>
      <c r="G467" s="135"/>
      <c r="H467" s="135"/>
      <c r="I467" s="135"/>
      <c r="J467" s="135"/>
      <c r="K467" s="135"/>
    </row>
    <row r="468" ht="15.75" customHeight="1">
      <c r="C468" s="135"/>
      <c r="G468" s="135"/>
      <c r="H468" s="135"/>
      <c r="I468" s="135"/>
      <c r="J468" s="135"/>
      <c r="K468" s="135"/>
    </row>
    <row r="469" ht="15.75" customHeight="1">
      <c r="C469" s="135"/>
      <c r="G469" s="135"/>
      <c r="H469" s="135"/>
      <c r="I469" s="135"/>
      <c r="J469" s="135"/>
      <c r="K469" s="135"/>
    </row>
    <row r="470" ht="15.75" customHeight="1">
      <c r="C470" s="135"/>
      <c r="G470" s="135"/>
      <c r="H470" s="135"/>
      <c r="I470" s="135"/>
      <c r="J470" s="135"/>
      <c r="K470" s="135"/>
    </row>
    <row r="471" ht="15.75" customHeight="1">
      <c r="C471" s="135"/>
      <c r="G471" s="135"/>
      <c r="H471" s="135"/>
      <c r="I471" s="135"/>
      <c r="J471" s="135"/>
      <c r="K471" s="135"/>
    </row>
    <row r="472" ht="15.75" customHeight="1">
      <c r="C472" s="135"/>
      <c r="G472" s="135"/>
      <c r="H472" s="135"/>
      <c r="I472" s="135"/>
      <c r="J472" s="135"/>
      <c r="K472" s="135"/>
    </row>
    <row r="473" ht="15.75" customHeight="1">
      <c r="C473" s="135"/>
      <c r="G473" s="135"/>
      <c r="H473" s="135"/>
      <c r="I473" s="135"/>
      <c r="J473" s="135"/>
      <c r="K473" s="135"/>
    </row>
    <row r="474" ht="15.75" customHeight="1">
      <c r="C474" s="135"/>
      <c r="G474" s="135"/>
      <c r="H474" s="135"/>
      <c r="I474" s="135"/>
      <c r="J474" s="135"/>
      <c r="K474" s="135"/>
    </row>
    <row r="475" ht="15.75" customHeight="1">
      <c r="C475" s="135"/>
      <c r="G475" s="135"/>
      <c r="H475" s="135"/>
      <c r="I475" s="135"/>
      <c r="J475" s="135"/>
      <c r="K475" s="135"/>
    </row>
    <row r="476" ht="15.75" customHeight="1">
      <c r="C476" s="135"/>
      <c r="G476" s="135"/>
      <c r="H476" s="135"/>
      <c r="I476" s="135"/>
      <c r="J476" s="135"/>
      <c r="K476" s="135"/>
    </row>
    <row r="477" ht="15.75" customHeight="1">
      <c r="C477" s="135"/>
      <c r="G477" s="135"/>
      <c r="H477" s="135"/>
      <c r="I477" s="135"/>
      <c r="J477" s="135"/>
      <c r="K477" s="135"/>
    </row>
    <row r="478" ht="15.75" customHeight="1">
      <c r="C478" s="135"/>
      <c r="G478" s="135"/>
      <c r="H478" s="135"/>
      <c r="I478" s="135"/>
      <c r="J478" s="135"/>
      <c r="K478" s="135"/>
    </row>
    <row r="479" ht="15.75" customHeight="1">
      <c r="C479" s="135"/>
      <c r="G479" s="135"/>
      <c r="H479" s="135"/>
      <c r="I479" s="135"/>
      <c r="J479" s="135"/>
      <c r="K479" s="135"/>
    </row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</sheetData>
  <autoFilter ref="$A$1:$L$1"/>
  <dataValidations>
    <dataValidation type="list" allowBlank="1" sqref="H167:H479">
      <formula1>"active,deprecated,unreleased"</formula1>
    </dataValidation>
    <dataValidation type="list" allowBlank="1" sqref="C2:C479">
      <formula1>"Front Bumper,Rear Bumper,Spoiler,Roof,Wheel,Side Skirt,Body Material,Wheel Material,Decal"</formula1>
    </dataValidation>
    <dataValidation type="list" allowBlank="1" sqref="I2:K2 I167:K479">
      <formula1>"Post-Race Rewards,Goal Rewards,City Completion,Achievement,Loot Crate"</formula1>
    </dataValidation>
    <dataValidation type="list" allowBlank="1" sqref="G167:G479">
      <formula1>"Common,UnCommon,Rare"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2C6F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0.0"/>
    <col customWidth="1" min="2" max="2" width="29.57"/>
    <col customWidth="1" min="3" max="3" width="25.0"/>
    <col customWidth="1" min="4" max="4" width="12.0"/>
    <col customWidth="1" min="5" max="5" width="18.0"/>
    <col customWidth="1" min="6" max="6" width="15.86"/>
    <col customWidth="1" min="7" max="7" width="14.71"/>
    <col customWidth="1" min="8" max="9" width="12.0"/>
    <col customWidth="1" min="10" max="10" width="30.29"/>
    <col customWidth="1" min="11" max="11" width="22.43"/>
    <col customWidth="1" min="12" max="12" width="32.57"/>
    <col customWidth="1" min="13" max="13" width="31.43"/>
    <col customWidth="1" min="14" max="24" width="8.71"/>
  </cols>
  <sheetData>
    <row r="1" ht="27.75" customHeight="1">
      <c r="A1" s="167" t="s">
        <v>646</v>
      </c>
      <c r="B1" s="167" t="s">
        <v>127</v>
      </c>
      <c r="C1" s="167" t="s">
        <v>128</v>
      </c>
      <c r="D1" s="167" t="s">
        <v>79</v>
      </c>
      <c r="E1" s="167" t="s">
        <v>80</v>
      </c>
      <c r="F1" s="167" t="s">
        <v>659</v>
      </c>
      <c r="G1" s="167" t="s">
        <v>660</v>
      </c>
      <c r="H1" s="167" t="s">
        <v>78</v>
      </c>
      <c r="I1" s="167" t="s">
        <v>84</v>
      </c>
      <c r="J1" s="168" t="s">
        <v>133</v>
      </c>
      <c r="K1" s="167" t="s">
        <v>661</v>
      </c>
      <c r="L1" s="167" t="s">
        <v>662</v>
      </c>
      <c r="M1" s="167" t="s">
        <v>663</v>
      </c>
    </row>
    <row r="2" ht="21.0" customHeight="1">
      <c r="A2" s="169"/>
      <c r="B2" s="169"/>
      <c r="C2" s="169"/>
      <c r="D2" s="169"/>
      <c r="E2" s="169"/>
      <c r="F2" s="169"/>
      <c r="G2" s="169"/>
      <c r="H2" s="169"/>
      <c r="I2" s="169"/>
      <c r="J2" s="170"/>
      <c r="K2" s="169"/>
      <c r="L2" s="169"/>
      <c r="M2" s="169"/>
    </row>
    <row r="3" ht="85.5" customHeight="1">
      <c r="A3" s="171" t="s">
        <v>649</v>
      </c>
      <c r="B3" s="172" t="s">
        <v>664</v>
      </c>
      <c r="C3" s="172" t="s">
        <v>664</v>
      </c>
      <c r="D3" s="172" t="s">
        <v>85</v>
      </c>
      <c r="E3" s="172" t="s">
        <v>86</v>
      </c>
      <c r="F3" s="173" t="s">
        <v>665</v>
      </c>
      <c r="G3" s="172">
        <v>1.0</v>
      </c>
      <c r="H3" s="172">
        <v>1.0</v>
      </c>
      <c r="I3" s="172" t="s">
        <v>666</v>
      </c>
      <c r="J3" s="174" t="s">
        <v>667</v>
      </c>
      <c r="K3" s="175" t="s">
        <v>668</v>
      </c>
      <c r="L3" s="176"/>
      <c r="M3" s="176"/>
      <c r="N3" s="177"/>
      <c r="O3" s="177"/>
      <c r="P3" s="177"/>
      <c r="Q3" s="177"/>
      <c r="R3" s="177"/>
      <c r="S3" s="177"/>
      <c r="T3" s="177"/>
      <c r="U3" s="177"/>
      <c r="V3" s="177"/>
      <c r="W3" s="177"/>
      <c r="X3" s="177"/>
    </row>
    <row r="4">
      <c r="A4" s="178" t="s">
        <v>655</v>
      </c>
      <c r="B4" s="163" t="s">
        <v>669</v>
      </c>
      <c r="C4" s="163" t="s">
        <v>669</v>
      </c>
      <c r="D4" s="179" t="s">
        <v>85</v>
      </c>
      <c r="E4" s="179" t="s">
        <v>86</v>
      </c>
      <c r="F4" s="180" t="s">
        <v>670</v>
      </c>
      <c r="G4" s="179">
        <v>1.0</v>
      </c>
      <c r="H4" s="179">
        <v>2.0</v>
      </c>
      <c r="I4" s="179" t="s">
        <v>666</v>
      </c>
      <c r="J4" s="179"/>
      <c r="K4" s="181" t="s">
        <v>671</v>
      </c>
      <c r="L4" s="182"/>
      <c r="M4" s="182"/>
    </row>
    <row r="5">
      <c r="A5" s="171" t="s">
        <v>656</v>
      </c>
      <c r="B5" s="172" t="s">
        <v>672</v>
      </c>
      <c r="C5" s="172" t="s">
        <v>672</v>
      </c>
      <c r="D5" s="172" t="s">
        <v>85</v>
      </c>
      <c r="E5" s="172" t="s">
        <v>86</v>
      </c>
      <c r="F5" s="183" t="s">
        <v>673</v>
      </c>
      <c r="G5" s="172">
        <v>1.0</v>
      </c>
      <c r="H5" s="172">
        <v>3.0</v>
      </c>
      <c r="I5" s="172" t="s">
        <v>666</v>
      </c>
      <c r="J5" s="172"/>
      <c r="K5" s="175" t="s">
        <v>674</v>
      </c>
      <c r="L5" s="176"/>
      <c r="M5" s="176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</row>
    <row r="6" ht="60.75" customHeight="1">
      <c r="A6" s="184" t="s">
        <v>675</v>
      </c>
      <c r="B6" s="185" t="s">
        <v>676</v>
      </c>
      <c r="C6" s="185" t="s">
        <v>676</v>
      </c>
      <c r="D6" s="179" t="s">
        <v>89</v>
      </c>
      <c r="E6" s="179" t="s">
        <v>90</v>
      </c>
      <c r="F6" s="186" t="s">
        <v>665</v>
      </c>
      <c r="G6" s="185">
        <v>3.0</v>
      </c>
      <c r="H6" s="179">
        <v>4.0</v>
      </c>
      <c r="I6" s="179"/>
      <c r="J6" s="179"/>
      <c r="K6" s="181"/>
      <c r="L6" s="182"/>
      <c r="M6" s="182"/>
    </row>
    <row r="7" ht="63.0" customHeight="1">
      <c r="A7" s="187" t="s">
        <v>677</v>
      </c>
      <c r="B7" s="188" t="s">
        <v>678</v>
      </c>
      <c r="C7" s="188" t="s">
        <v>678</v>
      </c>
      <c r="D7" s="163" t="s">
        <v>89</v>
      </c>
      <c r="E7" s="163" t="s">
        <v>90</v>
      </c>
      <c r="F7" s="189" t="s">
        <v>670</v>
      </c>
      <c r="G7" s="188">
        <v>3.0</v>
      </c>
      <c r="H7" s="163">
        <v>5.0</v>
      </c>
      <c r="I7" s="163"/>
      <c r="J7" s="163"/>
      <c r="K7" s="190"/>
      <c r="L7" s="191"/>
      <c r="M7" s="191"/>
    </row>
    <row r="8" ht="51.0" customHeight="1">
      <c r="A8" s="184" t="s">
        <v>679</v>
      </c>
      <c r="B8" s="185" t="s">
        <v>680</v>
      </c>
      <c r="C8" s="185" t="s">
        <v>680</v>
      </c>
      <c r="D8" s="179" t="s">
        <v>89</v>
      </c>
      <c r="E8" s="179" t="s">
        <v>90</v>
      </c>
      <c r="F8" s="192" t="s">
        <v>673</v>
      </c>
      <c r="G8" s="185">
        <v>3.0</v>
      </c>
      <c r="H8" s="179">
        <v>6.0</v>
      </c>
      <c r="I8" s="179"/>
      <c r="J8" s="179"/>
      <c r="K8" s="181"/>
      <c r="L8" s="182"/>
      <c r="M8" s="182"/>
    </row>
    <row r="9" ht="42.0" customHeight="1">
      <c r="A9" s="187" t="s">
        <v>681</v>
      </c>
      <c r="B9" s="188" t="s">
        <v>682</v>
      </c>
      <c r="C9" s="188" t="s">
        <v>682</v>
      </c>
      <c r="D9" s="163" t="s">
        <v>93</v>
      </c>
      <c r="E9" s="163" t="s">
        <v>94</v>
      </c>
      <c r="F9" s="193" t="s">
        <v>665</v>
      </c>
      <c r="G9" s="188">
        <v>6.0</v>
      </c>
      <c r="H9" s="163">
        <v>7.0</v>
      </c>
      <c r="I9" s="163"/>
      <c r="J9" s="163"/>
      <c r="K9" s="190"/>
      <c r="L9" s="191"/>
      <c r="M9" s="191"/>
    </row>
    <row r="10" ht="42.0" customHeight="1">
      <c r="A10" s="184" t="s">
        <v>683</v>
      </c>
      <c r="B10" s="185" t="s">
        <v>684</v>
      </c>
      <c r="C10" s="185" t="s">
        <v>684</v>
      </c>
      <c r="D10" s="179" t="s">
        <v>93</v>
      </c>
      <c r="E10" s="179" t="s">
        <v>94</v>
      </c>
      <c r="F10" s="180" t="s">
        <v>670</v>
      </c>
      <c r="G10" s="185">
        <v>6.0</v>
      </c>
      <c r="H10" s="179">
        <v>8.0</v>
      </c>
      <c r="I10" s="179"/>
      <c r="J10" s="179"/>
      <c r="K10" s="181"/>
      <c r="L10" s="182"/>
      <c r="M10" s="182"/>
    </row>
    <row r="11" ht="42.0" customHeight="1">
      <c r="A11" s="187" t="s">
        <v>685</v>
      </c>
      <c r="B11" s="188" t="s">
        <v>686</v>
      </c>
      <c r="C11" s="188" t="s">
        <v>686</v>
      </c>
      <c r="D11" s="163" t="s">
        <v>93</v>
      </c>
      <c r="E11" s="163" t="s">
        <v>94</v>
      </c>
      <c r="F11" s="194" t="s">
        <v>673</v>
      </c>
      <c r="G11" s="188">
        <v>6.0</v>
      </c>
      <c r="H11" s="163">
        <v>9.0</v>
      </c>
      <c r="I11" s="163"/>
      <c r="J11" s="163"/>
      <c r="K11" s="190"/>
      <c r="L11" s="191"/>
      <c r="M11" s="191"/>
    </row>
    <row r="12" ht="42.0" customHeight="1">
      <c r="A12" s="184" t="s">
        <v>687</v>
      </c>
      <c r="B12" s="185" t="s">
        <v>688</v>
      </c>
      <c r="C12" s="185" t="s">
        <v>688</v>
      </c>
      <c r="D12" s="179" t="s">
        <v>96</v>
      </c>
      <c r="E12" s="179" t="s">
        <v>97</v>
      </c>
      <c r="F12" s="186" t="s">
        <v>665</v>
      </c>
      <c r="G12" s="185">
        <v>9.0</v>
      </c>
      <c r="H12" s="179">
        <v>10.0</v>
      </c>
      <c r="I12" s="179"/>
      <c r="J12" s="179"/>
      <c r="K12" s="181"/>
      <c r="L12" s="182"/>
      <c r="M12" s="182"/>
    </row>
    <row r="13" ht="42.0" customHeight="1">
      <c r="A13" s="187" t="s">
        <v>689</v>
      </c>
      <c r="B13" s="188" t="s">
        <v>690</v>
      </c>
      <c r="C13" s="188" t="s">
        <v>690</v>
      </c>
      <c r="D13" s="163" t="s">
        <v>96</v>
      </c>
      <c r="E13" s="163" t="s">
        <v>97</v>
      </c>
      <c r="F13" s="189" t="s">
        <v>670</v>
      </c>
      <c r="G13" s="188">
        <v>9.0</v>
      </c>
      <c r="H13" s="163">
        <v>11.0</v>
      </c>
      <c r="I13" s="163"/>
      <c r="J13" s="163"/>
      <c r="K13" s="190"/>
      <c r="L13" s="191"/>
      <c r="M13" s="191"/>
    </row>
    <row r="14" ht="42.0" customHeight="1">
      <c r="A14" s="187" t="s">
        <v>691</v>
      </c>
      <c r="B14" s="185" t="s">
        <v>692</v>
      </c>
      <c r="C14" s="185" t="s">
        <v>692</v>
      </c>
      <c r="D14" s="179" t="s">
        <v>96</v>
      </c>
      <c r="E14" s="179" t="s">
        <v>97</v>
      </c>
      <c r="F14" s="192" t="s">
        <v>673</v>
      </c>
      <c r="G14" s="185">
        <v>9.0</v>
      </c>
      <c r="H14" s="179">
        <v>12.0</v>
      </c>
      <c r="I14" s="179"/>
      <c r="J14" s="179"/>
      <c r="K14" s="181"/>
      <c r="L14" s="182"/>
      <c r="M14" s="182"/>
    </row>
    <row r="15" ht="42.0" customHeight="1">
      <c r="A15" s="184" t="s">
        <v>693</v>
      </c>
      <c r="B15" s="188" t="s">
        <v>694</v>
      </c>
      <c r="C15" s="188" t="s">
        <v>694</v>
      </c>
      <c r="D15" s="163" t="s">
        <v>100</v>
      </c>
      <c r="E15" s="163" t="s">
        <v>101</v>
      </c>
      <c r="F15" s="193" t="s">
        <v>665</v>
      </c>
      <c r="G15" s="188">
        <v>12.0</v>
      </c>
      <c r="H15" s="163">
        <v>13.0</v>
      </c>
      <c r="I15" s="163"/>
      <c r="J15" s="163"/>
      <c r="K15" s="190"/>
      <c r="L15" s="191"/>
      <c r="M15" s="191"/>
    </row>
    <row r="16" ht="42.0" customHeight="1">
      <c r="A16" s="184" t="s">
        <v>695</v>
      </c>
      <c r="B16" s="185" t="s">
        <v>696</v>
      </c>
      <c r="C16" s="185" t="s">
        <v>696</v>
      </c>
      <c r="D16" s="179" t="s">
        <v>100</v>
      </c>
      <c r="E16" s="179" t="s">
        <v>101</v>
      </c>
      <c r="F16" s="180" t="s">
        <v>670</v>
      </c>
      <c r="G16" s="185">
        <v>12.0</v>
      </c>
      <c r="H16" s="179">
        <v>14.0</v>
      </c>
      <c r="I16" s="179"/>
      <c r="J16" s="179"/>
      <c r="K16" s="181"/>
      <c r="L16" s="182"/>
      <c r="M16" s="182"/>
    </row>
    <row r="17" ht="42.0" customHeight="1">
      <c r="A17" s="187" t="s">
        <v>697</v>
      </c>
      <c r="B17" s="188" t="s">
        <v>698</v>
      </c>
      <c r="C17" s="188" t="s">
        <v>698</v>
      </c>
      <c r="D17" s="163" t="s">
        <v>100</v>
      </c>
      <c r="E17" s="163" t="s">
        <v>101</v>
      </c>
      <c r="F17" s="194" t="s">
        <v>673</v>
      </c>
      <c r="G17" s="188">
        <v>12.0</v>
      </c>
      <c r="H17" s="163">
        <v>15.0</v>
      </c>
      <c r="I17" s="163"/>
      <c r="J17" s="163"/>
      <c r="K17" s="190"/>
      <c r="L17" s="191"/>
      <c r="M17" s="191"/>
    </row>
    <row r="18">
      <c r="A18" s="195" t="s">
        <v>699</v>
      </c>
      <c r="B18" s="196" t="s">
        <v>700</v>
      </c>
      <c r="C18" s="196" t="s">
        <v>700</v>
      </c>
      <c r="D18" s="197"/>
      <c r="E18" s="198"/>
      <c r="F18" s="199"/>
      <c r="G18" s="196">
        <v>2.0</v>
      </c>
      <c r="H18" s="196" t="s">
        <v>418</v>
      </c>
      <c r="I18" s="196" t="s">
        <v>701</v>
      </c>
      <c r="J18" s="198"/>
      <c r="K18" s="200"/>
      <c r="L18" s="201"/>
      <c r="M18" s="201"/>
    </row>
    <row r="19">
      <c r="A19" s="195" t="s">
        <v>702</v>
      </c>
      <c r="B19" s="196" t="s">
        <v>703</v>
      </c>
      <c r="C19" s="196" t="s">
        <v>703</v>
      </c>
      <c r="D19" s="197"/>
      <c r="E19" s="198"/>
      <c r="F19" s="199"/>
      <c r="G19" s="196">
        <v>5.0</v>
      </c>
      <c r="H19" s="196" t="s">
        <v>418</v>
      </c>
      <c r="I19" s="196" t="s">
        <v>701</v>
      </c>
      <c r="J19" s="198"/>
      <c r="K19" s="200"/>
      <c r="L19" s="201"/>
      <c r="M19" s="201"/>
    </row>
    <row r="20">
      <c r="A20" s="195" t="s">
        <v>704</v>
      </c>
      <c r="B20" s="196" t="s">
        <v>418</v>
      </c>
      <c r="C20" s="196" t="s">
        <v>418</v>
      </c>
      <c r="D20" s="197"/>
      <c r="E20" s="198"/>
      <c r="F20" s="199"/>
      <c r="G20" s="196">
        <v>11.0</v>
      </c>
      <c r="H20" s="196" t="s">
        <v>418</v>
      </c>
      <c r="I20" s="196" t="s">
        <v>701</v>
      </c>
      <c r="J20" s="198"/>
      <c r="K20" s="200"/>
      <c r="L20" s="201"/>
      <c r="M20" s="201"/>
    </row>
    <row r="21">
      <c r="D21" s="135"/>
      <c r="F21" s="135"/>
    </row>
    <row r="22" ht="15.75" customHeight="1">
      <c r="D22" s="135"/>
      <c r="F22" s="135"/>
    </row>
    <row r="23" ht="15.75" customHeight="1">
      <c r="D23" s="135"/>
      <c r="F23" s="135"/>
    </row>
    <row r="24" ht="15.75" customHeight="1">
      <c r="D24" s="135"/>
      <c r="F24" s="135"/>
    </row>
    <row r="25" ht="15.75" customHeight="1">
      <c r="D25" s="135"/>
      <c r="F25" s="135"/>
    </row>
    <row r="26" ht="15.75" customHeight="1">
      <c r="D26" s="135"/>
      <c r="F26" s="135"/>
    </row>
    <row r="27" ht="15.75" customHeight="1">
      <c r="D27" s="135"/>
      <c r="F27" s="135"/>
    </row>
    <row r="28" ht="15.75" customHeight="1">
      <c r="D28" s="135"/>
      <c r="F28" s="135"/>
    </row>
    <row r="29" ht="15.75" customHeight="1">
      <c r="D29" s="135"/>
      <c r="F29" s="135"/>
    </row>
    <row r="30" ht="15.75" customHeight="1">
      <c r="D30" s="135"/>
      <c r="F30" s="135"/>
    </row>
    <row r="31" ht="15.75" customHeight="1">
      <c r="D31" s="135"/>
      <c r="F31" s="135"/>
    </row>
    <row r="32" ht="15.75" customHeight="1">
      <c r="D32" s="135"/>
      <c r="F32" s="135"/>
    </row>
    <row r="33" ht="15.75" customHeight="1">
      <c r="D33" s="135"/>
      <c r="F33" s="135"/>
    </row>
    <row r="34" ht="15.75" customHeight="1">
      <c r="D34" s="135"/>
      <c r="F34" s="135"/>
    </row>
    <row r="35" ht="15.75" customHeight="1">
      <c r="D35" s="135"/>
      <c r="F35" s="135"/>
    </row>
    <row r="36" ht="15.75" customHeight="1">
      <c r="D36" s="135"/>
      <c r="F36" s="135"/>
    </row>
    <row r="37" ht="15.75" customHeight="1">
      <c r="D37" s="135"/>
      <c r="F37" s="135"/>
    </row>
    <row r="38" ht="15.75" customHeight="1">
      <c r="D38" s="135"/>
      <c r="F38" s="135"/>
    </row>
    <row r="39" ht="15.75" customHeight="1">
      <c r="D39" s="135"/>
      <c r="F39" s="135"/>
    </row>
    <row r="40" ht="15.75" customHeight="1">
      <c r="D40" s="135"/>
      <c r="F40" s="135"/>
    </row>
    <row r="41" ht="15.75" customHeight="1">
      <c r="D41" s="135"/>
      <c r="F41" s="135"/>
    </row>
    <row r="42" ht="15.75" customHeight="1">
      <c r="D42" s="135"/>
      <c r="F42" s="135"/>
    </row>
    <row r="43" ht="15.75" customHeight="1">
      <c r="D43" s="135"/>
      <c r="F43" s="135"/>
    </row>
    <row r="44" ht="15.75" customHeight="1">
      <c r="D44" s="135"/>
      <c r="F44" s="135"/>
    </row>
    <row r="45" ht="15.75" customHeight="1">
      <c r="D45" s="135"/>
      <c r="F45" s="135"/>
    </row>
    <row r="46" ht="15.75" customHeight="1">
      <c r="D46" s="135"/>
      <c r="F46" s="135"/>
    </row>
    <row r="47" ht="15.75" customHeight="1">
      <c r="D47" s="135"/>
      <c r="F47" s="135"/>
    </row>
    <row r="48" ht="15.75" customHeight="1">
      <c r="D48" s="135"/>
      <c r="F48" s="135"/>
    </row>
    <row r="49" ht="15.75" customHeight="1">
      <c r="D49" s="135"/>
      <c r="F49" s="135"/>
    </row>
    <row r="50" ht="15.75" customHeight="1">
      <c r="D50" s="135"/>
      <c r="F50" s="135"/>
    </row>
    <row r="51" ht="15.75" customHeight="1">
      <c r="D51" s="135"/>
      <c r="F51" s="135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autoFilter ref="$A$1:$M$1"/>
  <dataValidations>
    <dataValidation type="list" allowBlank="1" sqref="F3:F51">
      <formula1>"Balance,Grip Focus,Speed Focus"</formula1>
    </dataValidation>
    <dataValidation type="list" allowBlank="1" sqref="D3:D51">
      <formula1>"HN,DN,NT,HCM,PQ,HU"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D6608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3" width="14.0"/>
    <col customWidth="1" min="4" max="4" width="17.0"/>
    <col customWidth="1" min="5" max="5" width="17.86"/>
    <col customWidth="1" min="6" max="6" width="17.29"/>
    <col customWidth="1" min="7" max="13" width="30.29"/>
    <col customWidth="1" min="14" max="14" width="28.0"/>
    <col customWidth="1" min="15" max="27" width="8.71"/>
  </cols>
  <sheetData>
    <row r="1" ht="27.75" customHeight="1">
      <c r="A1" s="202" t="s">
        <v>644</v>
      </c>
      <c r="B1" s="202" t="s">
        <v>48</v>
      </c>
      <c r="C1" s="202" t="s">
        <v>705</v>
      </c>
      <c r="D1" s="202" t="s">
        <v>706</v>
      </c>
      <c r="E1" s="202" t="s">
        <v>707</v>
      </c>
      <c r="F1" s="202" t="s">
        <v>708</v>
      </c>
      <c r="G1" s="202" t="s">
        <v>127</v>
      </c>
      <c r="H1" s="202" t="s">
        <v>128</v>
      </c>
      <c r="I1" s="202" t="s">
        <v>130</v>
      </c>
      <c r="J1" s="202" t="s">
        <v>131</v>
      </c>
      <c r="K1" s="202" t="s">
        <v>132</v>
      </c>
      <c r="L1" s="203" t="s">
        <v>133</v>
      </c>
      <c r="M1" s="203"/>
      <c r="N1" s="202" t="s">
        <v>84</v>
      </c>
    </row>
    <row r="2">
      <c r="A2" s="155"/>
      <c r="B2" s="155"/>
      <c r="C2" s="155"/>
      <c r="D2" s="155"/>
      <c r="E2" s="155"/>
      <c r="F2" s="155"/>
      <c r="G2" s="156" t="s">
        <v>647</v>
      </c>
      <c r="H2" s="156" t="s">
        <v>647</v>
      </c>
      <c r="I2" s="156" t="s">
        <v>647</v>
      </c>
      <c r="J2" s="156" t="s">
        <v>647</v>
      </c>
      <c r="K2" s="156" t="s">
        <v>647</v>
      </c>
      <c r="L2" s="204"/>
      <c r="M2" s="204"/>
      <c r="N2" s="155"/>
    </row>
    <row r="3">
      <c r="A3" s="107" t="s">
        <v>491</v>
      </c>
      <c r="B3" s="24" t="s">
        <v>493</v>
      </c>
      <c r="C3" s="24" t="s">
        <v>709</v>
      </c>
      <c r="D3" s="205" t="s">
        <v>710</v>
      </c>
      <c r="E3" s="24" t="s">
        <v>711</v>
      </c>
      <c r="F3" s="24" t="s">
        <v>712</v>
      </c>
      <c r="G3" s="206" t="str">
        <f>IFERROR(VLOOKUP(A3,ITEM_MASTER!$A:$E,4,0),"?")</f>
        <v>Upgrade Part</v>
      </c>
      <c r="H3" s="206" t="str">
        <f>IFERROR(VLOOKUP(A3,ITEM_MASTER!$A:$E,5,0),"?")</f>
        <v>Gói nâng cấp xe</v>
      </c>
      <c r="I3" s="206" t="str">
        <f>IFERROR(VLOOKUP($A3,ITEM_MASTER!$A:$I,7,0),"?")</f>
        <v>UnCommon</v>
      </c>
      <c r="J3" s="206" t="str">
        <f>IFERROR(VLOOKUP($A3,ITEM_MASTER!$A:$I,8,0),"?")</f>
        <v>unreleased</v>
      </c>
      <c r="K3" s="206" t="str">
        <f>IFERROR(VLOOKUP($A3,ITEM_MASTER!$A:$I,9,0),"?")</f>
        <v>Post-Race Rewards</v>
      </c>
      <c r="L3" s="206" t="str">
        <f>IFERROR(VLOOKUP($A3,ITEM_MASTER!$A:$K,10,0),"?")</f>
        <v>path_f</v>
      </c>
      <c r="M3" s="206" t="str">
        <f>IFERROR(VLOOKUP($A3,ITEM_MASTER!$A:$K,11,0),"?")</f>
        <v>path_i</v>
      </c>
      <c r="N3" s="24" t="s">
        <v>713</v>
      </c>
    </row>
    <row r="4">
      <c r="A4" s="109"/>
      <c r="B4" s="135"/>
      <c r="D4" s="24"/>
      <c r="E4" s="24"/>
      <c r="F4" s="24"/>
      <c r="G4" s="206" t="str">
        <f>IFERROR(VLOOKUP(A4,ITEM_MASTER!$A:$E,4,0),"?")</f>
        <v>?</v>
      </c>
      <c r="H4" s="206" t="str">
        <f>IFERROR(VLOOKUP(A4,ITEM_MASTER!$A:$E,5,0),"?")</f>
        <v>?</v>
      </c>
      <c r="I4" s="206" t="str">
        <f>IFERROR(VLOOKUP($A4,ITEM_MASTER!$A:$H,7,0),"?")</f>
        <v>?</v>
      </c>
      <c r="J4" s="24"/>
      <c r="K4" s="24"/>
      <c r="L4" s="206" t="str">
        <f>IFERROR(VLOOKUP($A4,ITEM_MASTER!$A:$K,10,0),"?")</f>
        <v>?</v>
      </c>
      <c r="M4" s="24"/>
      <c r="N4" s="24"/>
    </row>
    <row r="5">
      <c r="A5" s="109"/>
      <c r="B5" s="135"/>
      <c r="D5" s="24"/>
      <c r="E5" s="24"/>
      <c r="F5" s="24"/>
      <c r="G5" s="206" t="str">
        <f>IFERROR(VLOOKUP(A5,ITEM_MASTER!$A:$E,4,0),"?")</f>
        <v>?</v>
      </c>
      <c r="H5" s="206" t="str">
        <f>IFERROR(VLOOKUP(A5,ITEM_MASTER!$A:$E,5,0),"?")</f>
        <v>?</v>
      </c>
      <c r="I5" s="206" t="str">
        <f>IFERROR(VLOOKUP($A5,ITEM_MASTER!$A:$H,7,0),"?")</f>
        <v>?</v>
      </c>
      <c r="J5" s="24"/>
      <c r="K5" s="24"/>
      <c r="L5" s="206" t="str">
        <f>IFERROR(VLOOKUP($A5,ITEM_MASTER!$A:$K,10,0),"?")</f>
        <v>?</v>
      </c>
      <c r="M5" s="24"/>
      <c r="N5" s="24"/>
    </row>
    <row r="6">
      <c r="A6" s="109"/>
      <c r="B6" s="135"/>
      <c r="D6" s="24"/>
      <c r="E6" s="24"/>
      <c r="F6" s="24"/>
      <c r="G6" s="206" t="str">
        <f>IFERROR(VLOOKUP(A6,ITEM_MASTER!$A:$E,4,0),"?")</f>
        <v>?</v>
      </c>
      <c r="H6" s="206" t="str">
        <f>IFERROR(VLOOKUP(A6,ITEM_MASTER!$A:$E,5,0),"?")</f>
        <v>?</v>
      </c>
      <c r="I6" s="206" t="str">
        <f>IFERROR(VLOOKUP($A6,ITEM_MASTER!$A:$H,7,0),"?")</f>
        <v>?</v>
      </c>
      <c r="J6" s="24"/>
      <c r="K6" s="24"/>
      <c r="L6" s="206" t="str">
        <f>IFERROR(VLOOKUP($A6,ITEM_MASTER!$A:$K,10,0),"?")</f>
        <v>?</v>
      </c>
      <c r="M6" s="24"/>
      <c r="N6" s="24"/>
    </row>
    <row r="7">
      <c r="A7" s="109"/>
      <c r="B7" s="135"/>
      <c r="D7" s="24"/>
      <c r="E7" s="24"/>
      <c r="F7" s="24"/>
      <c r="G7" s="206" t="str">
        <f>IFERROR(VLOOKUP(A7,ITEM_MASTER!$A:$E,4,0),"?")</f>
        <v>?</v>
      </c>
      <c r="H7" s="206" t="str">
        <f>IFERROR(VLOOKUP(A7,ITEM_MASTER!$A:$E,5,0),"?")</f>
        <v>?</v>
      </c>
      <c r="I7" s="206" t="str">
        <f>IFERROR(VLOOKUP($A7,ITEM_MASTER!$A:$H,7,0),"?")</f>
        <v>?</v>
      </c>
      <c r="J7" s="24"/>
      <c r="K7" s="24"/>
      <c r="L7" s="206" t="str">
        <f>IFERROR(VLOOKUP($A7,ITEM_MASTER!$A:$K,10,0),"?")</f>
        <v>?</v>
      </c>
      <c r="M7" s="24"/>
      <c r="N7" s="24"/>
    </row>
    <row r="8">
      <c r="A8" s="109"/>
      <c r="B8" s="135"/>
      <c r="D8" s="24"/>
      <c r="E8" s="24"/>
      <c r="F8" s="24"/>
      <c r="G8" s="206" t="str">
        <f>IFERROR(VLOOKUP(A8,ITEM_MASTER!$A:$E,4,0),"?")</f>
        <v>?</v>
      </c>
      <c r="H8" s="206" t="str">
        <f>IFERROR(VLOOKUP(A8,ITEM_MASTER!$A:$E,5,0),"?")</f>
        <v>?</v>
      </c>
      <c r="I8" s="206" t="str">
        <f>IFERROR(VLOOKUP($A8,ITEM_MASTER!$A:$H,7,0),"?")</f>
        <v>?</v>
      </c>
      <c r="J8" s="24"/>
      <c r="K8" s="24"/>
      <c r="L8" s="206" t="str">
        <f>IFERROR(VLOOKUP($A8,ITEM_MASTER!$A:$K,10,0),"?")</f>
        <v>?</v>
      </c>
      <c r="M8" s="24"/>
      <c r="N8" s="24"/>
    </row>
    <row r="9">
      <c r="A9" s="109"/>
      <c r="B9" s="135"/>
      <c r="D9" s="24"/>
      <c r="E9" s="24"/>
      <c r="F9" s="24"/>
      <c r="G9" s="206" t="str">
        <f>IFERROR(VLOOKUP(A9,ITEM_MASTER!$A:$E,4,0),"?")</f>
        <v>?</v>
      </c>
      <c r="H9" s="206" t="str">
        <f>IFERROR(VLOOKUP(A9,ITEM_MASTER!$A:$E,5,0),"?")</f>
        <v>?</v>
      </c>
      <c r="I9" s="206" t="str">
        <f>IFERROR(VLOOKUP($A9,ITEM_MASTER!$A:$H,7,0),"?")</f>
        <v>?</v>
      </c>
      <c r="J9" s="24"/>
      <c r="K9" s="24"/>
      <c r="L9" s="206" t="str">
        <f>IFERROR(VLOOKUP($A9,ITEM_MASTER!$A:$K,10,0),"?")</f>
        <v>?</v>
      </c>
      <c r="M9" s="24"/>
      <c r="N9" s="24"/>
    </row>
    <row r="10">
      <c r="A10" s="109"/>
      <c r="B10" s="135"/>
      <c r="D10" s="24"/>
      <c r="E10" s="24"/>
      <c r="F10" s="24"/>
      <c r="G10" s="206" t="str">
        <f>IFERROR(VLOOKUP(A10,ITEM_MASTER!$A:$E,4,0),"?")</f>
        <v>?</v>
      </c>
      <c r="H10" s="206" t="str">
        <f>IFERROR(VLOOKUP(A10,ITEM_MASTER!$A:$E,5,0),"?")</f>
        <v>?</v>
      </c>
      <c r="I10" s="206" t="str">
        <f>IFERROR(VLOOKUP($A10,ITEM_MASTER!$A:$H,7,0),"?")</f>
        <v>?</v>
      </c>
      <c r="J10" s="24"/>
      <c r="K10" s="24"/>
      <c r="L10" s="206" t="str">
        <f>IFERROR(VLOOKUP($A10,ITEM_MASTER!$A:$K,10,0),"?")</f>
        <v>?</v>
      </c>
      <c r="M10" s="24"/>
      <c r="N10" s="24"/>
    </row>
    <row r="11">
      <c r="A11" s="109"/>
      <c r="B11" s="135"/>
      <c r="D11" s="24"/>
      <c r="E11" s="24"/>
      <c r="F11" s="24"/>
      <c r="G11" s="206" t="str">
        <f>IFERROR(VLOOKUP(A11,ITEM_MASTER!$A:$E,4,0),"?")</f>
        <v>?</v>
      </c>
      <c r="H11" s="206" t="str">
        <f>IFERROR(VLOOKUP(A11,ITEM_MASTER!$A:$E,5,0),"?")</f>
        <v>?</v>
      </c>
      <c r="I11" s="206" t="str">
        <f>IFERROR(VLOOKUP($A11,ITEM_MASTER!$A:$H,7,0),"?")</f>
        <v>?</v>
      </c>
      <c r="J11" s="24"/>
      <c r="K11" s="24"/>
      <c r="L11" s="206" t="str">
        <f>IFERROR(VLOOKUP($A11,ITEM_MASTER!$A:$K,10,0),"?")</f>
        <v>?</v>
      </c>
      <c r="M11" s="24"/>
      <c r="N11" s="24"/>
    </row>
    <row r="12">
      <c r="A12" s="109"/>
      <c r="B12" s="135"/>
      <c r="D12" s="24"/>
      <c r="E12" s="24"/>
      <c r="F12" s="24"/>
      <c r="G12" s="206" t="str">
        <f>IFERROR(VLOOKUP(A12,ITEM_MASTER!$A:$E,4,0),"?")</f>
        <v>?</v>
      </c>
      <c r="H12" s="206" t="str">
        <f>IFERROR(VLOOKUP(A12,ITEM_MASTER!$A:$E,5,0),"?")</f>
        <v>?</v>
      </c>
      <c r="I12" s="206" t="str">
        <f>IFERROR(VLOOKUP($A12,ITEM_MASTER!$A:$H,7,0),"?")</f>
        <v>?</v>
      </c>
      <c r="J12" s="24"/>
      <c r="K12" s="24"/>
      <c r="L12" s="206" t="str">
        <f>IFERROR(VLOOKUP($A12,ITEM_MASTER!$A:$K,10,0),"?")</f>
        <v>?</v>
      </c>
      <c r="M12" s="24"/>
      <c r="N12" s="24"/>
    </row>
    <row r="13">
      <c r="A13" s="109"/>
      <c r="B13" s="135"/>
      <c r="D13" s="24"/>
      <c r="E13" s="24"/>
      <c r="F13" s="24"/>
      <c r="G13" s="206" t="str">
        <f>IFERROR(VLOOKUP(A13,ITEM_MASTER!$A:$E,4,0),"?")</f>
        <v>?</v>
      </c>
      <c r="H13" s="206" t="str">
        <f>IFERROR(VLOOKUP(A13,ITEM_MASTER!$A:$E,5,0),"?")</f>
        <v>?</v>
      </c>
      <c r="I13" s="206" t="str">
        <f>IFERROR(VLOOKUP($A13,ITEM_MASTER!$A:$H,7,0),"?")</f>
        <v>?</v>
      </c>
      <c r="J13" s="24"/>
      <c r="K13" s="24"/>
      <c r="L13" s="206" t="str">
        <f>IFERROR(VLOOKUP($A13,ITEM_MASTER!$A:$K,10,0),"?")</f>
        <v>?</v>
      </c>
      <c r="M13" s="24"/>
      <c r="N13" s="24"/>
    </row>
    <row r="14">
      <c r="A14" s="109"/>
      <c r="B14" s="135"/>
      <c r="D14" s="24"/>
      <c r="E14" s="24"/>
      <c r="F14" s="24"/>
      <c r="G14" s="206" t="str">
        <f>IFERROR(VLOOKUP(A14,ITEM_MASTER!$A:$E,4,0),"?")</f>
        <v>?</v>
      </c>
      <c r="H14" s="206" t="str">
        <f>IFERROR(VLOOKUP(A14,ITEM_MASTER!$A:$E,5,0),"?")</f>
        <v>?</v>
      </c>
      <c r="I14" s="206" t="str">
        <f>IFERROR(VLOOKUP($A14,ITEM_MASTER!$A:$H,7,0),"?")</f>
        <v>?</v>
      </c>
      <c r="J14" s="24"/>
      <c r="K14" s="24"/>
      <c r="L14" s="206" t="str">
        <f>IFERROR(VLOOKUP($A14,ITEM_MASTER!$A:$K,10,0),"?")</f>
        <v>?</v>
      </c>
      <c r="M14" s="24"/>
      <c r="N14" s="24"/>
    </row>
    <row r="15">
      <c r="A15" s="109"/>
      <c r="B15" s="135"/>
      <c r="D15" s="24"/>
      <c r="E15" s="24"/>
      <c r="F15" s="24"/>
      <c r="G15" s="206" t="str">
        <f>IFERROR(VLOOKUP(A15,ITEM_MASTER!$A:$E,4,0),"?")</f>
        <v>?</v>
      </c>
      <c r="H15" s="206" t="str">
        <f>IFERROR(VLOOKUP(A15,ITEM_MASTER!$A:$E,5,0),"?")</f>
        <v>?</v>
      </c>
      <c r="I15" s="206" t="str">
        <f>IFERROR(VLOOKUP($A15,ITEM_MASTER!$A:$H,7,0),"?")</f>
        <v>?</v>
      </c>
      <c r="J15" s="24"/>
      <c r="K15" s="24"/>
      <c r="L15" s="206" t="str">
        <f>IFERROR(VLOOKUP($A15,ITEM_MASTER!$A:$K,10,0),"?")</f>
        <v>?</v>
      </c>
      <c r="M15" s="24"/>
      <c r="N15" s="24"/>
    </row>
    <row r="16">
      <c r="A16" s="109"/>
      <c r="B16" s="135"/>
      <c r="D16" s="24"/>
      <c r="E16" s="24"/>
      <c r="F16" s="24"/>
      <c r="G16" s="206" t="str">
        <f>IFERROR(VLOOKUP(A16,ITEM_MASTER!$A:$E,4,0),"?")</f>
        <v>?</v>
      </c>
      <c r="H16" s="206" t="str">
        <f>IFERROR(VLOOKUP(A16,ITEM_MASTER!$A:$E,5,0),"?")</f>
        <v>?</v>
      </c>
      <c r="I16" s="206" t="str">
        <f>IFERROR(VLOOKUP($A16,ITEM_MASTER!$A:$H,7,0),"?")</f>
        <v>?</v>
      </c>
      <c r="J16" s="24"/>
      <c r="K16" s="24"/>
      <c r="L16" s="206" t="str">
        <f>IFERROR(VLOOKUP($A16,ITEM_MASTER!$A:$K,10,0),"?")</f>
        <v>?</v>
      </c>
      <c r="M16" s="24"/>
      <c r="N16" s="24"/>
    </row>
    <row r="17">
      <c r="A17" s="109"/>
      <c r="B17" s="135"/>
      <c r="D17" s="24"/>
      <c r="E17" s="24"/>
      <c r="F17" s="24"/>
      <c r="G17" s="206" t="str">
        <f>IFERROR(VLOOKUP(A17,ITEM_MASTER!$A:$E,4,0),"?")</f>
        <v>?</v>
      </c>
      <c r="H17" s="206" t="str">
        <f>IFERROR(VLOOKUP(A17,ITEM_MASTER!$A:$E,5,0),"?")</f>
        <v>?</v>
      </c>
      <c r="I17" s="206" t="str">
        <f>IFERROR(VLOOKUP($A17,ITEM_MASTER!$A:$H,7,0),"?")</f>
        <v>?</v>
      </c>
      <c r="J17" s="24"/>
      <c r="K17" s="24"/>
      <c r="L17" s="206" t="str">
        <f>IFERROR(VLOOKUP($A17,ITEM_MASTER!$A:$K,10,0),"?")</f>
        <v>?</v>
      </c>
      <c r="M17" s="24"/>
      <c r="N17" s="24"/>
    </row>
    <row r="18">
      <c r="A18" s="109"/>
      <c r="B18" s="135"/>
      <c r="D18" s="24"/>
      <c r="E18" s="24"/>
      <c r="F18" s="24"/>
      <c r="G18" s="206" t="str">
        <f>IFERROR(VLOOKUP(A18,ITEM_MASTER!$A:$E,4,0),"?")</f>
        <v>?</v>
      </c>
      <c r="H18" s="206" t="str">
        <f>IFERROR(VLOOKUP(A18,ITEM_MASTER!$A:$E,5,0),"?")</f>
        <v>?</v>
      </c>
      <c r="I18" s="206" t="str">
        <f>IFERROR(VLOOKUP($A18,ITEM_MASTER!$A:$H,7,0),"?")</f>
        <v>?</v>
      </c>
      <c r="J18" s="24"/>
      <c r="K18" s="24"/>
      <c r="L18" s="206" t="str">
        <f>IFERROR(VLOOKUP($A18,ITEM_MASTER!$A:$K,10,0),"?")</f>
        <v>?</v>
      </c>
      <c r="M18" s="24"/>
      <c r="N18" s="24"/>
    </row>
    <row r="19">
      <c r="A19" s="109"/>
      <c r="B19" s="135"/>
      <c r="D19" s="24"/>
      <c r="E19" s="24"/>
      <c r="F19" s="24"/>
      <c r="G19" s="206" t="str">
        <f>IFERROR(VLOOKUP(A19,ITEM_MASTER!$A:$E,4,0),"?")</f>
        <v>?</v>
      </c>
      <c r="H19" s="206" t="str">
        <f>IFERROR(VLOOKUP(A19,ITEM_MASTER!$A:$E,5,0),"?")</f>
        <v>?</v>
      </c>
      <c r="I19" s="206" t="str">
        <f>IFERROR(VLOOKUP($A19,ITEM_MASTER!$A:$H,7,0),"?")</f>
        <v>?</v>
      </c>
      <c r="J19" s="24"/>
      <c r="K19" s="24"/>
      <c r="L19" s="206" t="str">
        <f>IFERROR(VLOOKUP($A19,ITEM_MASTER!$A:$K,10,0),"?")</f>
        <v>?</v>
      </c>
      <c r="M19" s="24"/>
      <c r="N19" s="24"/>
    </row>
    <row r="20">
      <c r="B20" s="135"/>
      <c r="D20" s="24"/>
      <c r="E20" s="24"/>
      <c r="F20" s="24"/>
      <c r="G20" s="206" t="str">
        <f>IFERROR(VLOOKUP(A20,ITEM_MASTER!$A:$E,4,0),"?")</f>
        <v>?</v>
      </c>
      <c r="H20" s="206" t="str">
        <f>IFERROR(VLOOKUP(A20,ITEM_MASTER!$A:$E,5,0),"?")</f>
        <v>?</v>
      </c>
      <c r="I20" s="206" t="str">
        <f>IFERROR(VLOOKUP($A20,ITEM_MASTER!$A:$H,7,0),"?")</f>
        <v>?</v>
      </c>
      <c r="J20" s="24"/>
      <c r="K20" s="24"/>
      <c r="L20" s="206" t="str">
        <f>IFERROR(VLOOKUP($A20,ITEM_MASTER!$A:$K,10,0),"?")</f>
        <v>?</v>
      </c>
      <c r="M20" s="24"/>
      <c r="N20" s="24"/>
    </row>
    <row r="21" ht="15.75" customHeight="1">
      <c r="B21" s="135"/>
      <c r="D21" s="24"/>
      <c r="E21" s="24"/>
      <c r="F21" s="24"/>
      <c r="G21" s="206" t="str">
        <f>IFERROR(VLOOKUP(A21,ITEM_MASTER!$A:$E,4,0),"?")</f>
        <v>?</v>
      </c>
      <c r="H21" s="206" t="str">
        <f>IFERROR(VLOOKUP(A21,ITEM_MASTER!$A:$E,5,0),"?")</f>
        <v>?</v>
      </c>
      <c r="I21" s="206" t="str">
        <f>IFERROR(VLOOKUP($A21,ITEM_MASTER!$A:$H,7,0),"?")</f>
        <v>?</v>
      </c>
      <c r="J21" s="24"/>
      <c r="K21" s="24"/>
      <c r="L21" s="206" t="str">
        <f>IFERROR(VLOOKUP($A21,ITEM_MASTER!$A:$K,10,0),"?")</f>
        <v>?</v>
      </c>
      <c r="M21" s="24"/>
      <c r="N21" s="24"/>
    </row>
    <row r="22" ht="15.75" customHeight="1">
      <c r="B22" s="135"/>
      <c r="D22" s="24"/>
      <c r="E22" s="24"/>
      <c r="F22" s="24"/>
      <c r="G22" s="206" t="str">
        <f>IFERROR(VLOOKUP(A22,ITEM_MASTER!$A:$E,4,0),"?")</f>
        <v>?</v>
      </c>
      <c r="H22" s="206" t="str">
        <f>IFERROR(VLOOKUP(A22,ITEM_MASTER!$A:$E,5,0),"?")</f>
        <v>?</v>
      </c>
      <c r="I22" s="206" t="str">
        <f>IFERROR(VLOOKUP($A22,ITEM_MASTER!$A:$H,7,0),"?")</f>
        <v>?</v>
      </c>
      <c r="J22" s="24"/>
      <c r="K22" s="24"/>
      <c r="L22" s="206" t="str">
        <f>IFERROR(VLOOKUP($A22,ITEM_MASTER!$A:$K,10,0),"?")</f>
        <v>?</v>
      </c>
      <c r="M22" s="24"/>
      <c r="N22" s="24"/>
    </row>
    <row r="23" ht="15.75" customHeight="1">
      <c r="B23" s="135"/>
      <c r="D23" s="24"/>
      <c r="E23" s="24"/>
      <c r="F23" s="24"/>
      <c r="G23" s="206" t="str">
        <f>IFERROR(VLOOKUP(A23,ITEM_MASTER!$A:$E,4,0),"?")</f>
        <v>?</v>
      </c>
      <c r="H23" s="206" t="str">
        <f>IFERROR(VLOOKUP(A23,ITEM_MASTER!$A:$E,5,0),"?")</f>
        <v>?</v>
      </c>
      <c r="I23" s="206" t="str">
        <f>IFERROR(VLOOKUP($A23,ITEM_MASTER!$A:$H,7,0),"?")</f>
        <v>?</v>
      </c>
      <c r="J23" s="24"/>
      <c r="K23" s="24"/>
      <c r="L23" s="206" t="str">
        <f>IFERROR(VLOOKUP($A23,ITEM_MASTER!$A:$K,10,0),"?")</f>
        <v>?</v>
      </c>
      <c r="M23" s="24"/>
      <c r="N23" s="24"/>
    </row>
    <row r="24" ht="15.75" customHeight="1">
      <c r="B24" s="135"/>
      <c r="D24" s="24"/>
      <c r="E24" s="24"/>
      <c r="F24" s="24"/>
      <c r="G24" s="206" t="str">
        <f>IFERROR(VLOOKUP(A24,ITEM_MASTER!$A:$E,4,0),"?")</f>
        <v>?</v>
      </c>
      <c r="H24" s="206" t="str">
        <f>IFERROR(VLOOKUP(A24,ITEM_MASTER!$A:$E,5,0),"?")</f>
        <v>?</v>
      </c>
      <c r="I24" s="206" t="str">
        <f>IFERROR(VLOOKUP($A24,ITEM_MASTER!$A:$H,7,0),"?")</f>
        <v>?</v>
      </c>
      <c r="J24" s="24"/>
      <c r="K24" s="24"/>
      <c r="L24" s="206" t="str">
        <f>IFERROR(VLOOKUP($A24,ITEM_MASTER!$A:$K,10,0),"?")</f>
        <v>?</v>
      </c>
      <c r="M24" s="24"/>
      <c r="N24" s="24"/>
    </row>
    <row r="25" ht="15.75" customHeight="1">
      <c r="B25" s="135"/>
      <c r="D25" s="135"/>
      <c r="J25" s="135"/>
      <c r="K25" s="135"/>
      <c r="L25" s="135"/>
      <c r="M25" s="135"/>
    </row>
    <row r="26" ht="15.75" customHeight="1">
      <c r="B26" s="135"/>
      <c r="D26" s="135"/>
      <c r="I26" s="135"/>
      <c r="J26" s="135"/>
      <c r="K26" s="135"/>
      <c r="L26" s="135"/>
      <c r="M26" s="135"/>
    </row>
    <row r="27" ht="15.75" customHeight="1">
      <c r="B27" s="135"/>
      <c r="D27" s="135"/>
      <c r="I27" s="135"/>
      <c r="J27" s="135"/>
      <c r="K27" s="135"/>
      <c r="L27" s="135"/>
      <c r="M27" s="135"/>
    </row>
    <row r="28" ht="15.75" customHeight="1">
      <c r="B28" s="135"/>
      <c r="D28" s="135"/>
      <c r="I28" s="135"/>
      <c r="J28" s="135"/>
      <c r="K28" s="135"/>
      <c r="L28" s="135"/>
      <c r="M28" s="135"/>
    </row>
    <row r="29" ht="15.75" customHeight="1">
      <c r="B29" s="135"/>
      <c r="D29" s="135"/>
      <c r="I29" s="135"/>
      <c r="J29" s="135"/>
      <c r="K29" s="135"/>
      <c r="L29" s="135"/>
      <c r="M29" s="135"/>
    </row>
    <row r="30" ht="15.75" customHeight="1">
      <c r="B30" s="135"/>
      <c r="D30" s="135"/>
      <c r="I30" s="135"/>
      <c r="J30" s="135"/>
      <c r="K30" s="135"/>
      <c r="L30" s="135"/>
      <c r="M30" s="135"/>
    </row>
    <row r="31" ht="15.75" customHeight="1">
      <c r="B31" s="135"/>
      <c r="D31" s="135"/>
      <c r="I31" s="135"/>
      <c r="J31" s="135"/>
      <c r="K31" s="135"/>
      <c r="L31" s="135"/>
      <c r="M31" s="135"/>
    </row>
    <row r="32" ht="15.75" customHeight="1">
      <c r="B32" s="135"/>
      <c r="D32" s="135"/>
      <c r="I32" s="135"/>
      <c r="J32" s="135"/>
      <c r="K32" s="135"/>
      <c r="L32" s="135"/>
      <c r="M32" s="135"/>
    </row>
    <row r="33" ht="15.75" customHeight="1">
      <c r="B33" s="135"/>
      <c r="D33" s="135"/>
      <c r="I33" s="135"/>
      <c r="J33" s="135"/>
      <c r="K33" s="135"/>
      <c r="L33" s="135"/>
      <c r="M33" s="135"/>
    </row>
    <row r="34" ht="15.75" customHeight="1">
      <c r="B34" s="135"/>
      <c r="D34" s="135"/>
      <c r="I34" s="135"/>
      <c r="J34" s="135"/>
      <c r="K34" s="135"/>
      <c r="L34" s="135"/>
      <c r="M34" s="135"/>
    </row>
    <row r="35" ht="15.75" customHeight="1">
      <c r="B35" s="135"/>
      <c r="D35" s="135"/>
      <c r="I35" s="135"/>
      <c r="J35" s="135"/>
      <c r="K35" s="135"/>
      <c r="L35" s="135"/>
      <c r="M35" s="135"/>
    </row>
    <row r="36" ht="15.75" customHeight="1">
      <c r="B36" s="135"/>
      <c r="D36" s="135"/>
      <c r="I36" s="135"/>
      <c r="J36" s="135"/>
      <c r="K36" s="135"/>
      <c r="L36" s="135"/>
      <c r="M36" s="135"/>
    </row>
    <row r="37" ht="15.75" customHeight="1">
      <c r="B37" s="135"/>
      <c r="D37" s="135"/>
      <c r="I37" s="135"/>
      <c r="J37" s="135"/>
      <c r="K37" s="135"/>
      <c r="L37" s="135"/>
      <c r="M37" s="135"/>
    </row>
    <row r="38" ht="15.75" customHeight="1">
      <c r="B38" s="135"/>
      <c r="D38" s="135"/>
      <c r="I38" s="135"/>
      <c r="J38" s="135"/>
      <c r="K38" s="135"/>
      <c r="L38" s="135"/>
      <c r="M38" s="135"/>
    </row>
    <row r="39" ht="15.75" customHeight="1">
      <c r="B39" s="135"/>
      <c r="D39" s="135"/>
      <c r="I39" s="135"/>
      <c r="J39" s="135"/>
      <c r="K39" s="135"/>
      <c r="L39" s="135"/>
      <c r="M39" s="135"/>
    </row>
    <row r="40" ht="15.75" customHeight="1">
      <c r="B40" s="135"/>
      <c r="D40" s="135"/>
      <c r="I40" s="135"/>
      <c r="J40" s="135"/>
      <c r="K40" s="135"/>
      <c r="L40" s="135"/>
      <c r="M40" s="135"/>
    </row>
    <row r="41" ht="15.75" customHeight="1">
      <c r="B41" s="135"/>
      <c r="D41" s="135"/>
      <c r="I41" s="135"/>
      <c r="J41" s="135"/>
      <c r="K41" s="135"/>
      <c r="L41" s="135"/>
      <c r="M41" s="135"/>
    </row>
    <row r="42" ht="15.75" customHeight="1">
      <c r="B42" s="135"/>
      <c r="D42" s="135"/>
      <c r="I42" s="135"/>
      <c r="J42" s="135"/>
      <c r="K42" s="135"/>
      <c r="L42" s="135"/>
      <c r="M42" s="135"/>
    </row>
    <row r="43" ht="15.75" customHeight="1">
      <c r="B43" s="135"/>
      <c r="D43" s="135"/>
      <c r="I43" s="135"/>
      <c r="J43" s="135"/>
      <c r="K43" s="135"/>
      <c r="L43" s="135"/>
      <c r="M43" s="135"/>
    </row>
    <row r="44" ht="15.75" customHeight="1">
      <c r="B44" s="135"/>
      <c r="D44" s="135"/>
      <c r="I44" s="135"/>
      <c r="J44" s="135"/>
      <c r="K44" s="135"/>
      <c r="L44" s="135"/>
      <c r="M44" s="135"/>
    </row>
    <row r="45" ht="15.75" customHeight="1">
      <c r="B45" s="135"/>
      <c r="D45" s="135"/>
      <c r="I45" s="135"/>
      <c r="J45" s="135"/>
      <c r="K45" s="135"/>
      <c r="L45" s="135"/>
      <c r="M45" s="135"/>
    </row>
    <row r="46" ht="15.75" customHeight="1">
      <c r="B46" s="135"/>
      <c r="D46" s="135"/>
      <c r="I46" s="135"/>
      <c r="J46" s="135"/>
      <c r="K46" s="135"/>
      <c r="L46" s="135"/>
      <c r="M46" s="135"/>
    </row>
    <row r="47" ht="15.75" customHeight="1">
      <c r="B47" s="135"/>
      <c r="D47" s="135"/>
      <c r="I47" s="135"/>
      <c r="J47" s="135"/>
      <c r="K47" s="135"/>
      <c r="L47" s="135"/>
      <c r="M47" s="135"/>
    </row>
    <row r="48" ht="15.75" customHeight="1">
      <c r="B48" s="135"/>
      <c r="D48" s="135"/>
      <c r="I48" s="135"/>
      <c r="J48" s="135"/>
      <c r="K48" s="135"/>
      <c r="L48" s="135"/>
      <c r="M48" s="135"/>
    </row>
    <row r="49" ht="15.75" customHeight="1">
      <c r="B49" s="135"/>
      <c r="D49" s="135"/>
      <c r="I49" s="135"/>
      <c r="J49" s="135"/>
      <c r="K49" s="135"/>
      <c r="L49" s="135"/>
      <c r="M49" s="135"/>
    </row>
    <row r="50" ht="15.75" customHeight="1">
      <c r="B50" s="135"/>
      <c r="D50" s="135"/>
      <c r="I50" s="135"/>
      <c r="J50" s="135"/>
      <c r="K50" s="135"/>
      <c r="L50" s="135"/>
      <c r="M50" s="135"/>
    </row>
    <row r="51" ht="15.75" customHeight="1">
      <c r="B51" s="135"/>
      <c r="D51" s="135"/>
      <c r="I51" s="135"/>
      <c r="J51" s="135"/>
      <c r="K51" s="135"/>
      <c r="L51" s="135"/>
      <c r="M51" s="135"/>
    </row>
    <row r="52" ht="15.75" customHeight="1">
      <c r="B52" s="135"/>
      <c r="D52" s="135"/>
      <c r="I52" s="135"/>
      <c r="J52" s="135"/>
      <c r="K52" s="135"/>
      <c r="L52" s="135"/>
      <c r="M52" s="135"/>
    </row>
    <row r="53" ht="15.75" customHeight="1">
      <c r="B53" s="135"/>
      <c r="D53" s="135"/>
      <c r="I53" s="135"/>
      <c r="J53" s="135"/>
      <c r="K53" s="135"/>
      <c r="L53" s="135"/>
      <c r="M53" s="135"/>
    </row>
    <row r="54" ht="15.75" customHeight="1">
      <c r="B54" s="135"/>
      <c r="D54" s="135"/>
      <c r="I54" s="135"/>
      <c r="J54" s="135"/>
      <c r="K54" s="135"/>
      <c r="L54" s="135"/>
      <c r="M54" s="135"/>
    </row>
    <row r="55" ht="15.75" customHeight="1">
      <c r="B55" s="135"/>
      <c r="D55" s="135"/>
      <c r="I55" s="135"/>
      <c r="J55" s="135"/>
      <c r="K55" s="135"/>
      <c r="L55" s="135"/>
      <c r="M55" s="135"/>
    </row>
    <row r="56" ht="15.75" customHeight="1">
      <c r="B56" s="135"/>
      <c r="D56" s="135"/>
      <c r="I56" s="135"/>
      <c r="J56" s="135"/>
      <c r="K56" s="135"/>
      <c r="L56" s="135"/>
      <c r="M56" s="135"/>
    </row>
    <row r="57" ht="15.75" customHeight="1">
      <c r="B57" s="135"/>
      <c r="D57" s="135"/>
      <c r="I57" s="135"/>
      <c r="J57" s="135"/>
      <c r="K57" s="135"/>
      <c r="L57" s="135"/>
      <c r="M57" s="135"/>
    </row>
    <row r="58" ht="15.75" customHeight="1">
      <c r="B58" s="135"/>
      <c r="D58" s="135"/>
      <c r="I58" s="135"/>
      <c r="J58" s="135"/>
      <c r="K58" s="135"/>
      <c r="L58" s="135"/>
      <c r="M58" s="135"/>
    </row>
    <row r="59" ht="15.75" customHeight="1">
      <c r="B59" s="135"/>
      <c r="D59" s="135"/>
      <c r="I59" s="135"/>
      <c r="J59" s="135"/>
      <c r="K59" s="135"/>
      <c r="L59" s="135"/>
      <c r="M59" s="135"/>
    </row>
    <row r="60" ht="15.75" customHeight="1">
      <c r="B60" s="135"/>
      <c r="D60" s="135"/>
      <c r="I60" s="135"/>
      <c r="J60" s="135"/>
      <c r="K60" s="135"/>
      <c r="L60" s="135"/>
      <c r="M60" s="135"/>
    </row>
    <row r="61" ht="15.75" customHeight="1">
      <c r="B61" s="135"/>
      <c r="D61" s="135"/>
      <c r="I61" s="135"/>
      <c r="J61" s="135"/>
      <c r="K61" s="135"/>
      <c r="L61" s="135"/>
      <c r="M61" s="135"/>
    </row>
    <row r="62" ht="15.75" customHeight="1">
      <c r="B62" s="135"/>
      <c r="D62" s="135"/>
      <c r="I62" s="135"/>
      <c r="J62" s="135"/>
      <c r="K62" s="135"/>
      <c r="L62" s="135"/>
      <c r="M62" s="135"/>
    </row>
    <row r="63" ht="15.75" customHeight="1">
      <c r="B63" s="135"/>
      <c r="D63" s="135"/>
      <c r="I63" s="135"/>
      <c r="J63" s="135"/>
      <c r="K63" s="135"/>
      <c r="L63" s="135"/>
      <c r="M63" s="135"/>
    </row>
    <row r="64" ht="15.75" customHeight="1">
      <c r="B64" s="135"/>
      <c r="D64" s="135"/>
      <c r="I64" s="135"/>
      <c r="J64" s="135"/>
      <c r="K64" s="135"/>
      <c r="L64" s="135"/>
      <c r="M64" s="135"/>
    </row>
    <row r="65" ht="15.75" customHeight="1">
      <c r="B65" s="135"/>
      <c r="D65" s="135"/>
      <c r="I65" s="135"/>
      <c r="J65" s="135"/>
      <c r="K65" s="135"/>
      <c r="L65" s="135"/>
      <c r="M65" s="135"/>
    </row>
    <row r="66" ht="15.75" customHeight="1">
      <c r="B66" s="135"/>
      <c r="D66" s="135"/>
      <c r="I66" s="135"/>
      <c r="J66" s="135"/>
      <c r="K66" s="135"/>
      <c r="L66" s="135"/>
      <c r="M66" s="135"/>
    </row>
    <row r="67" ht="15.75" customHeight="1">
      <c r="B67" s="135"/>
      <c r="D67" s="135"/>
      <c r="I67" s="135"/>
      <c r="J67" s="135"/>
      <c r="K67" s="135"/>
      <c r="L67" s="135"/>
      <c r="M67" s="135"/>
    </row>
    <row r="68" ht="15.75" customHeight="1">
      <c r="B68" s="135"/>
      <c r="D68" s="135"/>
      <c r="I68" s="135"/>
      <c r="J68" s="135"/>
      <c r="K68" s="135"/>
      <c r="L68" s="135"/>
      <c r="M68" s="135"/>
    </row>
    <row r="69" ht="15.75" customHeight="1">
      <c r="B69" s="135"/>
      <c r="D69" s="135"/>
      <c r="I69" s="135"/>
      <c r="J69" s="135"/>
      <c r="K69" s="135"/>
      <c r="L69" s="135"/>
      <c r="M69" s="135"/>
    </row>
    <row r="70" ht="15.75" customHeight="1">
      <c r="B70" s="135"/>
      <c r="D70" s="135"/>
      <c r="I70" s="135"/>
      <c r="J70" s="135"/>
      <c r="K70" s="135"/>
      <c r="L70" s="135"/>
      <c r="M70" s="135"/>
    </row>
    <row r="71" ht="15.75" customHeight="1">
      <c r="B71" s="135"/>
      <c r="D71" s="135"/>
      <c r="I71" s="135"/>
      <c r="J71" s="135"/>
      <c r="K71" s="135"/>
      <c r="L71" s="135"/>
      <c r="M71" s="135"/>
    </row>
    <row r="72" ht="15.75" customHeight="1">
      <c r="B72" s="135"/>
      <c r="D72" s="135"/>
      <c r="I72" s="135"/>
      <c r="J72" s="135"/>
      <c r="K72" s="135"/>
      <c r="L72" s="135"/>
      <c r="M72" s="135"/>
    </row>
    <row r="73" ht="15.75" customHeight="1">
      <c r="B73" s="135"/>
      <c r="D73" s="135"/>
      <c r="I73" s="135"/>
      <c r="J73" s="135"/>
      <c r="K73" s="135"/>
      <c r="L73" s="135"/>
      <c r="M73" s="135"/>
    </row>
    <row r="74" ht="15.75" customHeight="1">
      <c r="B74" s="135"/>
      <c r="D74" s="135"/>
      <c r="I74" s="135"/>
      <c r="J74" s="135"/>
      <c r="K74" s="135"/>
      <c r="L74" s="135"/>
      <c r="M74" s="135"/>
    </row>
    <row r="75" ht="15.75" customHeight="1">
      <c r="B75" s="135"/>
      <c r="D75" s="135"/>
      <c r="I75" s="135"/>
      <c r="J75" s="135"/>
      <c r="K75" s="135"/>
      <c r="L75" s="135"/>
      <c r="M75" s="135"/>
    </row>
    <row r="76" ht="15.75" customHeight="1">
      <c r="B76" s="135"/>
      <c r="D76" s="135"/>
      <c r="I76" s="135"/>
      <c r="J76" s="135"/>
      <c r="K76" s="135"/>
      <c r="L76" s="135"/>
      <c r="M76" s="135"/>
    </row>
    <row r="77" ht="15.75" customHeight="1">
      <c r="B77" s="135"/>
      <c r="D77" s="135"/>
      <c r="I77" s="135"/>
      <c r="J77" s="135"/>
      <c r="K77" s="135"/>
      <c r="L77" s="135"/>
      <c r="M77" s="135"/>
    </row>
    <row r="78" ht="15.75" customHeight="1">
      <c r="B78" s="135"/>
      <c r="D78" s="135"/>
      <c r="I78" s="135"/>
      <c r="J78" s="135"/>
      <c r="K78" s="135"/>
      <c r="L78" s="135"/>
      <c r="M78" s="135"/>
    </row>
    <row r="79" ht="15.75" customHeight="1">
      <c r="B79" s="135"/>
      <c r="D79" s="135"/>
      <c r="I79" s="135"/>
      <c r="J79" s="135"/>
      <c r="K79" s="135"/>
      <c r="L79" s="135"/>
      <c r="M79" s="135"/>
    </row>
    <row r="80" ht="15.75" customHeight="1">
      <c r="B80" s="135"/>
      <c r="D80" s="135"/>
      <c r="I80" s="135"/>
      <c r="J80" s="135"/>
      <c r="K80" s="135"/>
      <c r="L80" s="135"/>
      <c r="M80" s="135"/>
    </row>
    <row r="81" ht="15.75" customHeight="1">
      <c r="B81" s="135"/>
      <c r="D81" s="135"/>
      <c r="I81" s="135"/>
      <c r="J81" s="135"/>
      <c r="K81" s="135"/>
      <c r="L81" s="135"/>
      <c r="M81" s="135"/>
    </row>
    <row r="82" ht="15.75" customHeight="1">
      <c r="B82" s="135"/>
      <c r="D82" s="135"/>
      <c r="I82" s="135"/>
      <c r="J82" s="135"/>
      <c r="K82" s="135"/>
      <c r="L82" s="135"/>
      <c r="M82" s="135"/>
    </row>
    <row r="83" ht="15.75" customHeight="1">
      <c r="B83" s="135"/>
      <c r="D83" s="135"/>
      <c r="I83" s="135"/>
      <c r="J83" s="135"/>
      <c r="K83" s="135"/>
      <c r="L83" s="135"/>
      <c r="M83" s="135"/>
    </row>
    <row r="84" ht="15.75" customHeight="1">
      <c r="B84" s="135"/>
      <c r="D84" s="135"/>
      <c r="I84" s="135"/>
      <c r="J84" s="135"/>
      <c r="K84" s="135"/>
      <c r="L84" s="135"/>
      <c r="M84" s="135"/>
    </row>
    <row r="85" ht="15.75" customHeight="1">
      <c r="B85" s="135"/>
      <c r="D85" s="135"/>
      <c r="I85" s="135"/>
      <c r="J85" s="135"/>
      <c r="K85" s="135"/>
      <c r="L85" s="135"/>
      <c r="M85" s="135"/>
    </row>
    <row r="86" ht="15.75" customHeight="1">
      <c r="B86" s="135"/>
      <c r="D86" s="135"/>
      <c r="I86" s="135"/>
      <c r="J86" s="135"/>
      <c r="K86" s="135"/>
      <c r="L86" s="135"/>
      <c r="M86" s="135"/>
    </row>
    <row r="87" ht="15.75" customHeight="1">
      <c r="B87" s="135"/>
      <c r="D87" s="135"/>
      <c r="I87" s="135"/>
      <c r="J87" s="135"/>
      <c r="K87" s="135"/>
      <c r="L87" s="135"/>
      <c r="M87" s="135"/>
    </row>
    <row r="88" ht="15.75" customHeight="1">
      <c r="B88" s="135"/>
      <c r="D88" s="135"/>
      <c r="I88" s="135"/>
      <c r="J88" s="135"/>
      <c r="K88" s="135"/>
      <c r="L88" s="135"/>
      <c r="M88" s="135"/>
    </row>
    <row r="89" ht="15.75" customHeight="1">
      <c r="B89" s="135"/>
      <c r="D89" s="135"/>
      <c r="I89" s="135"/>
      <c r="J89" s="135"/>
      <c r="K89" s="135"/>
      <c r="L89" s="135"/>
      <c r="M89" s="135"/>
    </row>
    <row r="90" ht="15.75" customHeight="1">
      <c r="B90" s="135"/>
      <c r="D90" s="135"/>
      <c r="I90" s="135"/>
      <c r="J90" s="135"/>
      <c r="K90" s="135"/>
      <c r="L90" s="135"/>
      <c r="M90" s="135"/>
    </row>
    <row r="91" ht="15.75" customHeight="1">
      <c r="B91" s="135"/>
      <c r="D91" s="135"/>
      <c r="I91" s="135"/>
      <c r="J91" s="135"/>
      <c r="K91" s="135"/>
      <c r="L91" s="135"/>
      <c r="M91" s="135"/>
    </row>
    <row r="92" ht="15.75" customHeight="1">
      <c r="B92" s="135"/>
      <c r="D92" s="135"/>
      <c r="I92" s="135"/>
      <c r="J92" s="135"/>
      <c r="K92" s="135"/>
      <c r="L92" s="135"/>
      <c r="M92" s="135"/>
    </row>
    <row r="93" ht="15.75" customHeight="1">
      <c r="B93" s="135"/>
      <c r="D93" s="135"/>
      <c r="I93" s="135"/>
      <c r="J93" s="135"/>
      <c r="K93" s="135"/>
      <c r="L93" s="135"/>
      <c r="M93" s="135"/>
    </row>
    <row r="94" ht="15.75" customHeight="1">
      <c r="B94" s="135"/>
      <c r="D94" s="135"/>
      <c r="I94" s="135"/>
      <c r="J94" s="135"/>
      <c r="K94" s="135"/>
      <c r="L94" s="135"/>
      <c r="M94" s="135"/>
    </row>
    <row r="95" ht="15.75" customHeight="1">
      <c r="B95" s="135"/>
      <c r="D95" s="135"/>
      <c r="I95" s="135"/>
      <c r="J95" s="135"/>
      <c r="K95" s="135"/>
      <c r="L95" s="135"/>
      <c r="M95" s="135"/>
    </row>
    <row r="96" ht="15.75" customHeight="1">
      <c r="B96" s="135"/>
      <c r="D96" s="135"/>
      <c r="I96" s="135"/>
      <c r="J96" s="135"/>
      <c r="K96" s="135"/>
      <c r="L96" s="135"/>
      <c r="M96" s="135"/>
    </row>
    <row r="97" ht="15.75" customHeight="1">
      <c r="B97" s="135"/>
      <c r="D97" s="135"/>
      <c r="I97" s="135"/>
      <c r="J97" s="135"/>
      <c r="K97" s="135"/>
      <c r="L97" s="135"/>
      <c r="M97" s="135"/>
    </row>
    <row r="98" ht="15.75" customHeight="1">
      <c r="B98" s="135"/>
      <c r="D98" s="135"/>
      <c r="I98" s="135"/>
      <c r="J98" s="135"/>
      <c r="K98" s="135"/>
      <c r="L98" s="135"/>
      <c r="M98" s="135"/>
    </row>
    <row r="99" ht="15.75" customHeight="1">
      <c r="B99" s="135"/>
      <c r="D99" s="135"/>
      <c r="I99" s="135"/>
      <c r="J99" s="135"/>
      <c r="K99" s="135"/>
      <c r="L99" s="135"/>
      <c r="M99" s="135"/>
    </row>
    <row r="100" ht="15.75" customHeight="1">
      <c r="B100" s="135"/>
      <c r="D100" s="135"/>
      <c r="I100" s="135"/>
      <c r="J100" s="135"/>
      <c r="K100" s="135"/>
      <c r="L100" s="135"/>
      <c r="M100" s="135"/>
    </row>
    <row r="101" ht="15.75" customHeight="1">
      <c r="B101" s="135"/>
      <c r="D101" s="135"/>
      <c r="I101" s="135"/>
      <c r="J101" s="135"/>
      <c r="K101" s="135"/>
      <c r="L101" s="135"/>
      <c r="M101" s="135"/>
    </row>
    <row r="102" ht="15.75" customHeight="1">
      <c r="B102" s="135"/>
      <c r="D102" s="135"/>
      <c r="I102" s="135"/>
      <c r="J102" s="135"/>
      <c r="K102" s="135"/>
      <c r="L102" s="135"/>
      <c r="M102" s="135"/>
    </row>
    <row r="103" ht="15.75" customHeight="1">
      <c r="B103" s="135"/>
      <c r="D103" s="135"/>
      <c r="I103" s="135"/>
      <c r="J103" s="135"/>
      <c r="K103" s="135"/>
      <c r="L103" s="135"/>
      <c r="M103" s="135"/>
    </row>
    <row r="104" ht="15.75" customHeight="1">
      <c r="B104" s="135"/>
      <c r="D104" s="135"/>
      <c r="I104" s="135"/>
      <c r="J104" s="135"/>
      <c r="K104" s="135"/>
      <c r="L104" s="135"/>
      <c r="M104" s="135"/>
    </row>
    <row r="105" ht="15.75" customHeight="1">
      <c r="B105" s="135"/>
      <c r="D105" s="135"/>
      <c r="I105" s="135"/>
      <c r="J105" s="135"/>
      <c r="K105" s="135"/>
      <c r="L105" s="135"/>
      <c r="M105" s="135"/>
    </row>
    <row r="106" ht="15.75" customHeight="1">
      <c r="B106" s="135"/>
      <c r="D106" s="135"/>
      <c r="I106" s="135"/>
      <c r="J106" s="135"/>
      <c r="K106" s="135"/>
      <c r="L106" s="135"/>
      <c r="M106" s="135"/>
    </row>
    <row r="107" ht="15.75" customHeight="1">
      <c r="B107" s="135"/>
      <c r="D107" s="135"/>
      <c r="I107" s="135"/>
      <c r="J107" s="135"/>
      <c r="K107" s="135"/>
      <c r="L107" s="135"/>
      <c r="M107" s="135"/>
    </row>
    <row r="108" ht="15.75" customHeight="1">
      <c r="B108" s="135"/>
      <c r="D108" s="135"/>
      <c r="I108" s="135"/>
      <c r="J108" s="135"/>
      <c r="K108" s="135"/>
      <c r="L108" s="135"/>
      <c r="M108" s="135"/>
    </row>
    <row r="109" ht="15.75" customHeight="1">
      <c r="B109" s="135"/>
      <c r="D109" s="135"/>
      <c r="I109" s="135"/>
      <c r="J109" s="135"/>
      <c r="K109" s="135"/>
      <c r="L109" s="135"/>
      <c r="M109" s="135"/>
    </row>
    <row r="110" ht="15.75" customHeight="1">
      <c r="B110" s="135"/>
      <c r="D110" s="135"/>
      <c r="I110" s="135"/>
      <c r="J110" s="135"/>
      <c r="K110" s="135"/>
      <c r="L110" s="135"/>
      <c r="M110" s="135"/>
    </row>
    <row r="111" ht="15.75" customHeight="1">
      <c r="B111" s="135"/>
      <c r="D111" s="135"/>
      <c r="I111" s="135"/>
      <c r="J111" s="135"/>
      <c r="K111" s="135"/>
      <c r="L111" s="135"/>
      <c r="M111" s="135"/>
    </row>
    <row r="112" ht="15.75" customHeight="1">
      <c r="B112" s="135"/>
      <c r="D112" s="135"/>
      <c r="I112" s="135"/>
      <c r="J112" s="135"/>
      <c r="K112" s="135"/>
      <c r="L112" s="135"/>
      <c r="M112" s="135"/>
    </row>
    <row r="113" ht="15.75" customHeight="1">
      <c r="B113" s="135"/>
      <c r="D113" s="135"/>
      <c r="I113" s="135"/>
      <c r="J113" s="135"/>
      <c r="K113" s="135"/>
      <c r="L113" s="135"/>
      <c r="M113" s="135"/>
    </row>
    <row r="114" ht="15.75" customHeight="1">
      <c r="B114" s="135"/>
      <c r="D114" s="135"/>
      <c r="I114" s="135"/>
      <c r="J114" s="135"/>
      <c r="K114" s="135"/>
      <c r="L114" s="135"/>
      <c r="M114" s="135"/>
    </row>
    <row r="115" ht="15.75" customHeight="1">
      <c r="B115" s="135"/>
      <c r="D115" s="135"/>
      <c r="I115" s="135"/>
      <c r="J115" s="135"/>
      <c r="K115" s="135"/>
      <c r="L115" s="135"/>
      <c r="M115" s="135"/>
    </row>
    <row r="116" ht="15.75" customHeight="1">
      <c r="B116" s="135"/>
      <c r="D116" s="135"/>
      <c r="I116" s="135"/>
      <c r="J116" s="135"/>
      <c r="K116" s="135"/>
      <c r="L116" s="135"/>
      <c r="M116" s="135"/>
    </row>
    <row r="117" ht="15.75" customHeight="1">
      <c r="B117" s="135"/>
      <c r="D117" s="135"/>
      <c r="I117" s="135"/>
      <c r="J117" s="135"/>
      <c r="K117" s="135"/>
      <c r="L117" s="135"/>
      <c r="M117" s="135"/>
    </row>
    <row r="118" ht="15.75" customHeight="1">
      <c r="B118" s="135"/>
      <c r="D118" s="135"/>
      <c r="I118" s="135"/>
      <c r="J118" s="135"/>
      <c r="K118" s="135"/>
      <c r="L118" s="135"/>
      <c r="M118" s="135"/>
    </row>
    <row r="119" ht="15.75" customHeight="1">
      <c r="B119" s="135"/>
      <c r="D119" s="135"/>
      <c r="I119" s="135"/>
      <c r="J119" s="135"/>
      <c r="K119" s="135"/>
      <c r="L119" s="135"/>
      <c r="M119" s="135"/>
    </row>
    <row r="120" ht="15.75" customHeight="1">
      <c r="B120" s="135"/>
      <c r="D120" s="135"/>
      <c r="I120" s="135"/>
      <c r="J120" s="135"/>
      <c r="K120" s="135"/>
      <c r="L120" s="135"/>
      <c r="M120" s="135"/>
    </row>
    <row r="121" ht="15.75" customHeight="1">
      <c r="B121" s="135"/>
      <c r="D121" s="135"/>
      <c r="I121" s="135"/>
      <c r="J121" s="135"/>
      <c r="K121" s="135"/>
      <c r="L121" s="135"/>
      <c r="M121" s="135"/>
    </row>
    <row r="122" ht="15.75" customHeight="1">
      <c r="B122" s="135"/>
      <c r="D122" s="135"/>
      <c r="I122" s="135"/>
      <c r="J122" s="135"/>
      <c r="K122" s="135"/>
      <c r="L122" s="135"/>
      <c r="M122" s="135"/>
    </row>
    <row r="123" ht="15.75" customHeight="1">
      <c r="B123" s="135"/>
      <c r="D123" s="135"/>
      <c r="I123" s="135"/>
      <c r="J123" s="135"/>
      <c r="K123" s="135"/>
      <c r="L123" s="135"/>
      <c r="M123" s="135"/>
    </row>
    <row r="124" ht="15.75" customHeight="1">
      <c r="B124" s="135"/>
      <c r="D124" s="135"/>
      <c r="I124" s="135"/>
      <c r="J124" s="135"/>
      <c r="K124" s="135"/>
      <c r="L124" s="135"/>
      <c r="M124" s="135"/>
    </row>
    <row r="125" ht="15.75" customHeight="1">
      <c r="B125" s="135"/>
      <c r="D125" s="135"/>
      <c r="I125" s="135"/>
      <c r="J125" s="135"/>
      <c r="K125" s="135"/>
      <c r="L125" s="135"/>
      <c r="M125" s="135"/>
    </row>
    <row r="126" ht="15.75" customHeight="1">
      <c r="B126" s="135"/>
      <c r="D126" s="135"/>
      <c r="I126" s="135"/>
      <c r="J126" s="135"/>
      <c r="K126" s="135"/>
      <c r="L126" s="135"/>
      <c r="M126" s="135"/>
    </row>
    <row r="127" ht="15.75" customHeight="1">
      <c r="B127" s="135"/>
      <c r="D127" s="135"/>
      <c r="I127" s="135"/>
      <c r="J127" s="135"/>
      <c r="K127" s="135"/>
      <c r="L127" s="135"/>
      <c r="M127" s="135"/>
    </row>
    <row r="128" ht="15.75" customHeight="1">
      <c r="B128" s="135"/>
      <c r="D128" s="135"/>
      <c r="I128" s="135"/>
      <c r="J128" s="135"/>
      <c r="K128" s="135"/>
      <c r="L128" s="135"/>
      <c r="M128" s="135"/>
    </row>
    <row r="129" ht="15.75" customHeight="1">
      <c r="B129" s="135"/>
      <c r="D129" s="135"/>
      <c r="I129" s="135"/>
      <c r="J129" s="135"/>
      <c r="K129" s="135"/>
      <c r="L129" s="135"/>
      <c r="M129" s="135"/>
    </row>
    <row r="130" ht="15.75" customHeight="1">
      <c r="B130" s="135"/>
      <c r="D130" s="135"/>
      <c r="I130" s="135"/>
      <c r="J130" s="135"/>
      <c r="K130" s="135"/>
      <c r="L130" s="135"/>
      <c r="M130" s="135"/>
    </row>
    <row r="131" ht="15.75" customHeight="1">
      <c r="B131" s="135"/>
      <c r="D131" s="135"/>
      <c r="I131" s="135"/>
      <c r="J131" s="135"/>
      <c r="K131" s="135"/>
      <c r="L131" s="135"/>
      <c r="M131" s="135"/>
    </row>
    <row r="132" ht="15.75" customHeight="1">
      <c r="B132" s="135"/>
      <c r="D132" s="135"/>
      <c r="I132" s="135"/>
      <c r="J132" s="135"/>
      <c r="K132" s="135"/>
      <c r="L132" s="135"/>
      <c r="M132" s="135"/>
    </row>
    <row r="133" ht="15.75" customHeight="1">
      <c r="B133" s="135"/>
      <c r="D133" s="135"/>
      <c r="I133" s="135"/>
      <c r="J133" s="135"/>
      <c r="K133" s="135"/>
      <c r="L133" s="135"/>
      <c r="M133" s="135"/>
    </row>
    <row r="134" ht="15.75" customHeight="1">
      <c r="B134" s="135"/>
      <c r="D134" s="135"/>
      <c r="I134" s="135"/>
      <c r="J134" s="135"/>
      <c r="K134" s="135"/>
      <c r="L134" s="135"/>
      <c r="M134" s="135"/>
    </row>
    <row r="135" ht="15.75" customHeight="1">
      <c r="B135" s="135"/>
      <c r="D135" s="135"/>
      <c r="I135" s="135"/>
      <c r="J135" s="135"/>
      <c r="K135" s="135"/>
      <c r="L135" s="135"/>
      <c r="M135" s="135"/>
    </row>
    <row r="136" ht="15.75" customHeight="1">
      <c r="B136" s="135"/>
      <c r="D136" s="135"/>
      <c r="I136" s="135"/>
      <c r="J136" s="135"/>
      <c r="K136" s="135"/>
      <c r="L136" s="135"/>
      <c r="M136" s="135"/>
    </row>
    <row r="137" ht="15.75" customHeight="1">
      <c r="B137" s="135"/>
      <c r="D137" s="135"/>
      <c r="I137" s="135"/>
      <c r="J137" s="135"/>
      <c r="K137" s="135"/>
      <c r="L137" s="135"/>
      <c r="M137" s="135"/>
    </row>
    <row r="138" ht="15.75" customHeight="1">
      <c r="B138" s="135"/>
      <c r="D138" s="135"/>
      <c r="I138" s="135"/>
      <c r="J138" s="135"/>
      <c r="K138" s="135"/>
      <c r="L138" s="135"/>
      <c r="M138" s="135"/>
    </row>
    <row r="139" ht="15.75" customHeight="1">
      <c r="B139" s="135"/>
      <c r="D139" s="135"/>
      <c r="I139" s="135"/>
      <c r="J139" s="135"/>
      <c r="K139" s="135"/>
      <c r="L139" s="135"/>
      <c r="M139" s="135"/>
    </row>
    <row r="140" ht="15.75" customHeight="1">
      <c r="B140" s="135"/>
      <c r="D140" s="135"/>
      <c r="I140" s="135"/>
      <c r="J140" s="135"/>
      <c r="K140" s="135"/>
      <c r="L140" s="135"/>
      <c r="M140" s="135"/>
    </row>
    <row r="141" ht="15.75" customHeight="1">
      <c r="B141" s="135"/>
      <c r="D141" s="135"/>
      <c r="I141" s="135"/>
      <c r="J141" s="135"/>
      <c r="K141" s="135"/>
      <c r="L141" s="135"/>
      <c r="M141" s="135"/>
    </row>
    <row r="142" ht="15.75" customHeight="1">
      <c r="B142" s="135"/>
      <c r="D142" s="135"/>
      <c r="I142" s="135"/>
      <c r="J142" s="135"/>
      <c r="K142" s="135"/>
      <c r="L142" s="135"/>
      <c r="M142" s="135"/>
    </row>
    <row r="143" ht="15.75" customHeight="1">
      <c r="B143" s="135"/>
      <c r="D143" s="135"/>
      <c r="I143" s="135"/>
      <c r="J143" s="135"/>
      <c r="K143" s="135"/>
      <c r="L143" s="135"/>
      <c r="M143" s="135"/>
    </row>
    <row r="144" ht="15.75" customHeight="1">
      <c r="B144" s="135"/>
      <c r="D144" s="135"/>
      <c r="I144" s="135"/>
      <c r="J144" s="135"/>
      <c r="K144" s="135"/>
      <c r="L144" s="135"/>
      <c r="M144" s="135"/>
    </row>
    <row r="145" ht="15.75" customHeight="1">
      <c r="B145" s="135"/>
      <c r="D145" s="135"/>
      <c r="I145" s="135"/>
      <c r="J145" s="135"/>
      <c r="K145" s="135"/>
      <c r="L145" s="135"/>
      <c r="M145" s="135"/>
    </row>
    <row r="146" ht="15.75" customHeight="1">
      <c r="B146" s="135"/>
      <c r="D146" s="135"/>
      <c r="I146" s="135"/>
      <c r="J146" s="135"/>
      <c r="K146" s="135"/>
      <c r="L146" s="135"/>
      <c r="M146" s="135"/>
    </row>
    <row r="147" ht="15.75" customHeight="1">
      <c r="B147" s="135"/>
      <c r="D147" s="135"/>
      <c r="I147" s="135"/>
      <c r="J147" s="135"/>
      <c r="K147" s="135"/>
      <c r="L147" s="135"/>
      <c r="M147" s="135"/>
    </row>
    <row r="148" ht="15.75" customHeight="1">
      <c r="B148" s="135"/>
      <c r="D148" s="135"/>
      <c r="I148" s="135"/>
      <c r="J148" s="135"/>
      <c r="K148" s="135"/>
      <c r="L148" s="135"/>
      <c r="M148" s="135"/>
    </row>
    <row r="149" ht="15.75" customHeight="1">
      <c r="B149" s="135"/>
      <c r="D149" s="135"/>
      <c r="I149" s="135"/>
      <c r="J149" s="135"/>
      <c r="K149" s="135"/>
      <c r="L149" s="135"/>
      <c r="M149" s="135"/>
    </row>
    <row r="150" ht="15.75" customHeight="1">
      <c r="B150" s="135"/>
      <c r="D150" s="135"/>
      <c r="I150" s="135"/>
      <c r="J150" s="135"/>
      <c r="K150" s="135"/>
      <c r="L150" s="135"/>
      <c r="M150" s="135"/>
    </row>
    <row r="151" ht="15.75" customHeight="1">
      <c r="B151" s="135"/>
      <c r="D151" s="135"/>
      <c r="I151" s="135"/>
      <c r="J151" s="135"/>
      <c r="K151" s="135"/>
      <c r="L151" s="135"/>
      <c r="M151" s="135"/>
    </row>
    <row r="152" ht="15.75" customHeight="1">
      <c r="B152" s="135"/>
      <c r="D152" s="135"/>
      <c r="I152" s="135"/>
      <c r="J152" s="135"/>
      <c r="K152" s="135"/>
      <c r="L152" s="135"/>
      <c r="M152" s="135"/>
    </row>
    <row r="153" ht="15.75" customHeight="1">
      <c r="B153" s="135"/>
      <c r="D153" s="135"/>
      <c r="I153" s="135"/>
      <c r="J153" s="135"/>
      <c r="K153" s="135"/>
      <c r="L153" s="135"/>
      <c r="M153" s="135"/>
    </row>
    <row r="154" ht="15.75" customHeight="1">
      <c r="B154" s="135"/>
      <c r="D154" s="135"/>
      <c r="I154" s="135"/>
      <c r="J154" s="135"/>
      <c r="K154" s="135"/>
      <c r="L154" s="135"/>
      <c r="M154" s="135"/>
    </row>
    <row r="155" ht="15.75" customHeight="1">
      <c r="B155" s="135"/>
      <c r="D155" s="135"/>
      <c r="I155" s="135"/>
      <c r="J155" s="135"/>
      <c r="K155" s="135"/>
      <c r="L155" s="135"/>
      <c r="M155" s="135"/>
    </row>
    <row r="156" ht="15.75" customHeight="1">
      <c r="B156" s="135"/>
      <c r="D156" s="135"/>
      <c r="I156" s="135"/>
      <c r="J156" s="135"/>
      <c r="K156" s="135"/>
      <c r="L156" s="135"/>
      <c r="M156" s="135"/>
    </row>
    <row r="157" ht="15.75" customHeight="1">
      <c r="B157" s="135"/>
      <c r="D157" s="135"/>
      <c r="I157" s="135"/>
      <c r="J157" s="135"/>
      <c r="K157" s="135"/>
      <c r="L157" s="135"/>
      <c r="M157" s="135"/>
    </row>
    <row r="158" ht="15.75" customHeight="1">
      <c r="B158" s="135"/>
      <c r="D158" s="135"/>
      <c r="I158" s="135"/>
      <c r="J158" s="135"/>
      <c r="K158" s="135"/>
      <c r="L158" s="135"/>
      <c r="M158" s="135"/>
    </row>
    <row r="159" ht="15.75" customHeight="1">
      <c r="B159" s="135"/>
      <c r="D159" s="135"/>
      <c r="I159" s="135"/>
      <c r="J159" s="135"/>
      <c r="K159" s="135"/>
      <c r="L159" s="135"/>
      <c r="M159" s="135"/>
    </row>
    <row r="160" ht="15.75" customHeight="1">
      <c r="B160" s="135"/>
      <c r="D160" s="135"/>
      <c r="I160" s="135"/>
      <c r="J160" s="135"/>
      <c r="K160" s="135"/>
      <c r="L160" s="135"/>
      <c r="M160" s="135"/>
    </row>
    <row r="161" ht="15.75" customHeight="1">
      <c r="B161" s="135"/>
      <c r="D161" s="135"/>
      <c r="I161" s="135"/>
      <c r="J161" s="135"/>
      <c r="K161" s="135"/>
      <c r="L161" s="135"/>
      <c r="M161" s="135"/>
    </row>
    <row r="162" ht="15.75" customHeight="1">
      <c r="B162" s="135"/>
      <c r="D162" s="135"/>
      <c r="I162" s="135"/>
      <c r="J162" s="135"/>
      <c r="K162" s="135"/>
      <c r="L162" s="135"/>
      <c r="M162" s="135"/>
    </row>
    <row r="163" ht="15.75" customHeight="1">
      <c r="B163" s="135"/>
      <c r="D163" s="135"/>
      <c r="I163" s="135"/>
      <c r="J163" s="135"/>
      <c r="K163" s="135"/>
      <c r="L163" s="135"/>
      <c r="M163" s="135"/>
    </row>
    <row r="164" ht="15.75" customHeight="1">
      <c r="B164" s="135"/>
      <c r="D164" s="135"/>
      <c r="I164" s="135"/>
      <c r="J164" s="135"/>
      <c r="K164" s="135"/>
      <c r="L164" s="135"/>
      <c r="M164" s="135"/>
    </row>
    <row r="165" ht="15.75" customHeight="1">
      <c r="B165" s="135"/>
      <c r="D165" s="135"/>
      <c r="I165" s="135"/>
      <c r="J165" s="135"/>
      <c r="K165" s="135"/>
      <c r="L165" s="135"/>
      <c r="M165" s="135"/>
    </row>
    <row r="166" ht="15.75" customHeight="1">
      <c r="B166" s="135"/>
      <c r="D166" s="135"/>
      <c r="I166" s="135"/>
      <c r="J166" s="135"/>
      <c r="K166" s="135"/>
      <c r="L166" s="135"/>
      <c r="M166" s="135"/>
    </row>
    <row r="167" ht="15.75" customHeight="1">
      <c r="B167" s="135"/>
      <c r="D167" s="135"/>
      <c r="I167" s="135"/>
      <c r="J167" s="135"/>
      <c r="K167" s="135"/>
      <c r="L167" s="135"/>
      <c r="M167" s="135"/>
    </row>
    <row r="168" ht="15.75" customHeight="1">
      <c r="B168" s="135"/>
      <c r="D168" s="135"/>
      <c r="I168" s="135"/>
      <c r="J168" s="135"/>
      <c r="K168" s="135"/>
      <c r="L168" s="135"/>
      <c r="M168" s="135"/>
    </row>
    <row r="169" ht="15.75" customHeight="1">
      <c r="B169" s="135"/>
      <c r="D169" s="135"/>
      <c r="I169" s="135"/>
      <c r="J169" s="135"/>
      <c r="K169" s="135"/>
      <c r="L169" s="135"/>
      <c r="M169" s="135"/>
    </row>
    <row r="170" ht="15.75" customHeight="1">
      <c r="B170" s="135"/>
      <c r="D170" s="135"/>
      <c r="I170" s="135"/>
      <c r="J170" s="135"/>
      <c r="K170" s="135"/>
      <c r="L170" s="135"/>
      <c r="M170" s="135"/>
    </row>
    <row r="171" ht="15.75" customHeight="1">
      <c r="B171" s="135"/>
      <c r="D171" s="135"/>
      <c r="I171" s="135"/>
      <c r="J171" s="135"/>
      <c r="K171" s="135"/>
      <c r="L171" s="135"/>
      <c r="M171" s="135"/>
    </row>
    <row r="172" ht="15.75" customHeight="1">
      <c r="B172" s="135"/>
      <c r="D172" s="135"/>
      <c r="I172" s="135"/>
      <c r="J172" s="135"/>
      <c r="K172" s="135"/>
      <c r="L172" s="135"/>
      <c r="M172" s="135"/>
    </row>
    <row r="173" ht="15.75" customHeight="1">
      <c r="B173" s="135"/>
      <c r="D173" s="135"/>
      <c r="I173" s="135"/>
      <c r="J173" s="135"/>
      <c r="K173" s="135"/>
      <c r="L173" s="135"/>
      <c r="M173" s="135"/>
    </row>
    <row r="174" ht="15.75" customHeight="1">
      <c r="B174" s="135"/>
      <c r="D174" s="135"/>
      <c r="I174" s="135"/>
      <c r="J174" s="135"/>
      <c r="K174" s="135"/>
      <c r="L174" s="135"/>
      <c r="M174" s="135"/>
    </row>
    <row r="175" ht="15.75" customHeight="1">
      <c r="B175" s="135"/>
      <c r="D175" s="135"/>
      <c r="I175" s="135"/>
      <c r="J175" s="135"/>
      <c r="K175" s="135"/>
      <c r="L175" s="135"/>
      <c r="M175" s="135"/>
    </row>
    <row r="176" ht="15.75" customHeight="1">
      <c r="B176" s="135"/>
      <c r="D176" s="135"/>
      <c r="I176" s="135"/>
      <c r="J176" s="135"/>
      <c r="K176" s="135"/>
      <c r="L176" s="135"/>
      <c r="M176" s="135"/>
    </row>
    <row r="177" ht="15.75" customHeight="1">
      <c r="B177" s="135"/>
      <c r="D177" s="135"/>
      <c r="I177" s="135"/>
      <c r="J177" s="135"/>
      <c r="K177" s="135"/>
      <c r="L177" s="135"/>
      <c r="M177" s="135"/>
    </row>
    <row r="178" ht="15.75" customHeight="1">
      <c r="B178" s="135"/>
      <c r="D178" s="135"/>
      <c r="I178" s="135"/>
      <c r="J178" s="135"/>
      <c r="K178" s="135"/>
      <c r="L178" s="135"/>
      <c r="M178" s="135"/>
    </row>
    <row r="179" ht="15.75" customHeight="1">
      <c r="B179" s="135"/>
      <c r="D179" s="135"/>
      <c r="I179" s="135"/>
      <c r="J179" s="135"/>
      <c r="K179" s="135"/>
      <c r="L179" s="135"/>
      <c r="M179" s="135"/>
    </row>
    <row r="180" ht="15.75" customHeight="1">
      <c r="B180" s="135"/>
      <c r="D180" s="135"/>
      <c r="I180" s="135"/>
      <c r="J180" s="135"/>
      <c r="K180" s="135"/>
      <c r="L180" s="135"/>
      <c r="M180" s="135"/>
    </row>
    <row r="181" ht="15.75" customHeight="1">
      <c r="B181" s="135"/>
      <c r="D181" s="135"/>
      <c r="I181" s="135"/>
      <c r="J181" s="135"/>
      <c r="K181" s="135"/>
      <c r="L181" s="135"/>
      <c r="M181" s="135"/>
    </row>
    <row r="182" ht="15.75" customHeight="1">
      <c r="B182" s="135"/>
      <c r="D182" s="135"/>
      <c r="I182" s="135"/>
      <c r="J182" s="135"/>
      <c r="K182" s="135"/>
      <c r="L182" s="135"/>
      <c r="M182" s="135"/>
    </row>
    <row r="183" ht="15.75" customHeight="1">
      <c r="B183" s="135"/>
      <c r="D183" s="135"/>
      <c r="I183" s="135"/>
      <c r="J183" s="135"/>
      <c r="K183" s="135"/>
      <c r="L183" s="135"/>
      <c r="M183" s="135"/>
    </row>
    <row r="184" ht="15.75" customHeight="1">
      <c r="B184" s="135"/>
      <c r="D184" s="135"/>
      <c r="I184" s="135"/>
      <c r="J184" s="135"/>
      <c r="K184" s="135"/>
      <c r="L184" s="135"/>
      <c r="M184" s="135"/>
    </row>
    <row r="185" ht="15.75" customHeight="1">
      <c r="B185" s="135"/>
      <c r="D185" s="135"/>
      <c r="I185" s="135"/>
      <c r="J185" s="135"/>
      <c r="K185" s="135"/>
      <c r="L185" s="135"/>
      <c r="M185" s="135"/>
    </row>
    <row r="186" ht="15.75" customHeight="1">
      <c r="B186" s="135"/>
      <c r="D186" s="135"/>
      <c r="I186" s="135"/>
      <c r="J186" s="135"/>
      <c r="K186" s="135"/>
      <c r="L186" s="135"/>
      <c r="M186" s="135"/>
    </row>
    <row r="187" ht="15.75" customHeight="1">
      <c r="B187" s="135"/>
      <c r="D187" s="135"/>
      <c r="I187" s="135"/>
      <c r="J187" s="135"/>
      <c r="K187" s="135"/>
      <c r="L187" s="135"/>
      <c r="M187" s="135"/>
    </row>
    <row r="188" ht="15.75" customHeight="1">
      <c r="B188" s="135"/>
      <c r="D188" s="135"/>
      <c r="I188" s="135"/>
      <c r="J188" s="135"/>
      <c r="K188" s="135"/>
      <c r="L188" s="135"/>
      <c r="M188" s="135"/>
    </row>
    <row r="189" ht="15.75" customHeight="1">
      <c r="B189" s="135"/>
      <c r="D189" s="135"/>
      <c r="I189" s="135"/>
      <c r="J189" s="135"/>
      <c r="K189" s="135"/>
      <c r="L189" s="135"/>
      <c r="M189" s="135"/>
    </row>
    <row r="190" ht="15.75" customHeight="1">
      <c r="B190" s="135"/>
      <c r="D190" s="135"/>
      <c r="I190" s="135"/>
      <c r="J190" s="135"/>
      <c r="K190" s="135"/>
      <c r="L190" s="135"/>
      <c r="M190" s="135"/>
    </row>
    <row r="191" ht="15.75" customHeight="1">
      <c r="B191" s="135"/>
      <c r="D191" s="135"/>
      <c r="I191" s="135"/>
      <c r="J191" s="135"/>
      <c r="K191" s="135"/>
      <c r="L191" s="135"/>
      <c r="M191" s="135"/>
    </row>
    <row r="192" ht="15.75" customHeight="1">
      <c r="B192" s="135"/>
      <c r="D192" s="135"/>
      <c r="I192" s="135"/>
      <c r="J192" s="135"/>
      <c r="K192" s="135"/>
      <c r="L192" s="135"/>
      <c r="M192" s="135"/>
    </row>
    <row r="193" ht="15.75" customHeight="1">
      <c r="B193" s="135"/>
      <c r="D193" s="135"/>
      <c r="I193" s="135"/>
      <c r="J193" s="135"/>
      <c r="K193" s="135"/>
      <c r="L193" s="135"/>
      <c r="M193" s="135"/>
    </row>
    <row r="194" ht="15.75" customHeight="1">
      <c r="B194" s="135"/>
      <c r="D194" s="135"/>
      <c r="I194" s="135"/>
      <c r="J194" s="135"/>
      <c r="K194" s="135"/>
      <c r="L194" s="135"/>
      <c r="M194" s="135"/>
    </row>
    <row r="195" ht="15.75" customHeight="1">
      <c r="B195" s="135"/>
      <c r="D195" s="135"/>
      <c r="I195" s="135"/>
      <c r="J195" s="135"/>
      <c r="K195" s="135"/>
      <c r="L195" s="135"/>
      <c r="M195" s="135"/>
    </row>
    <row r="196" ht="15.75" customHeight="1">
      <c r="B196" s="135"/>
      <c r="D196" s="135"/>
      <c r="I196" s="135"/>
      <c r="J196" s="135"/>
      <c r="K196" s="135"/>
      <c r="L196" s="135"/>
      <c r="M196" s="135"/>
    </row>
    <row r="197" ht="15.75" customHeight="1">
      <c r="B197" s="135"/>
      <c r="D197" s="135"/>
      <c r="I197" s="135"/>
      <c r="J197" s="135"/>
      <c r="K197" s="135"/>
      <c r="L197" s="135"/>
      <c r="M197" s="135"/>
    </row>
    <row r="198" ht="15.75" customHeight="1">
      <c r="B198" s="135"/>
      <c r="D198" s="135"/>
      <c r="I198" s="135"/>
      <c r="J198" s="135"/>
      <c r="K198" s="135"/>
      <c r="L198" s="135"/>
      <c r="M198" s="135"/>
    </row>
    <row r="199" ht="15.75" customHeight="1">
      <c r="B199" s="135"/>
      <c r="D199" s="135"/>
      <c r="I199" s="135"/>
      <c r="J199" s="135"/>
      <c r="K199" s="135"/>
      <c r="L199" s="135"/>
      <c r="M199" s="135"/>
    </row>
    <row r="200" ht="15.75" customHeight="1">
      <c r="B200" s="135"/>
      <c r="D200" s="135"/>
      <c r="I200" s="135"/>
      <c r="J200" s="135"/>
      <c r="K200" s="135"/>
      <c r="L200" s="135"/>
      <c r="M200" s="135"/>
    </row>
    <row r="201" ht="15.75" customHeight="1">
      <c r="B201" s="135"/>
      <c r="D201" s="135"/>
      <c r="I201" s="135"/>
      <c r="J201" s="135"/>
      <c r="K201" s="135"/>
      <c r="L201" s="135"/>
      <c r="M201" s="135"/>
    </row>
    <row r="202" ht="15.75" customHeight="1">
      <c r="B202" s="135"/>
      <c r="D202" s="135"/>
      <c r="I202" s="135"/>
      <c r="J202" s="135"/>
      <c r="K202" s="135"/>
      <c r="L202" s="135"/>
      <c r="M202" s="135"/>
    </row>
    <row r="203" ht="15.75" customHeight="1">
      <c r="B203" s="135"/>
      <c r="D203" s="135"/>
      <c r="I203" s="135"/>
      <c r="J203" s="135"/>
      <c r="K203" s="135"/>
      <c r="L203" s="135"/>
      <c r="M203" s="135"/>
    </row>
    <row r="204" ht="15.75" customHeight="1">
      <c r="B204" s="135"/>
      <c r="D204" s="135"/>
      <c r="I204" s="135"/>
      <c r="J204" s="135"/>
      <c r="K204" s="135"/>
      <c r="L204" s="135"/>
      <c r="M204" s="135"/>
    </row>
    <row r="205" ht="15.75" customHeight="1">
      <c r="B205" s="135"/>
      <c r="D205" s="135"/>
      <c r="I205" s="135"/>
      <c r="J205" s="135"/>
      <c r="K205" s="135"/>
      <c r="L205" s="135"/>
      <c r="M205" s="135"/>
    </row>
    <row r="206" ht="15.75" customHeight="1">
      <c r="B206" s="135"/>
      <c r="D206" s="135"/>
      <c r="I206" s="135"/>
      <c r="J206" s="135"/>
      <c r="K206" s="135"/>
      <c r="L206" s="135"/>
      <c r="M206" s="135"/>
    </row>
    <row r="207" ht="15.75" customHeight="1">
      <c r="B207" s="135"/>
      <c r="D207" s="135"/>
      <c r="I207" s="135"/>
      <c r="J207" s="135"/>
      <c r="K207" s="135"/>
      <c r="L207" s="135"/>
      <c r="M207" s="135"/>
    </row>
    <row r="208" ht="15.75" customHeight="1">
      <c r="B208" s="135"/>
      <c r="D208" s="135"/>
      <c r="I208" s="135"/>
      <c r="J208" s="135"/>
      <c r="K208" s="135"/>
      <c r="L208" s="135"/>
      <c r="M208" s="135"/>
    </row>
    <row r="209" ht="15.75" customHeight="1">
      <c r="B209" s="135"/>
      <c r="D209" s="135"/>
      <c r="I209" s="135"/>
      <c r="J209" s="135"/>
      <c r="K209" s="135"/>
      <c r="L209" s="135"/>
      <c r="M209" s="135"/>
    </row>
    <row r="210" ht="15.75" customHeight="1">
      <c r="B210" s="135"/>
      <c r="D210" s="135"/>
      <c r="I210" s="135"/>
      <c r="J210" s="135"/>
      <c r="K210" s="135"/>
      <c r="L210" s="135"/>
      <c r="M210" s="135"/>
    </row>
    <row r="211" ht="15.75" customHeight="1">
      <c r="B211" s="135"/>
      <c r="D211" s="135"/>
      <c r="I211" s="135"/>
      <c r="J211" s="135"/>
      <c r="K211" s="135"/>
      <c r="L211" s="135"/>
      <c r="M211" s="135"/>
    </row>
    <row r="212" ht="15.75" customHeight="1">
      <c r="B212" s="135"/>
      <c r="D212" s="135"/>
      <c r="I212" s="135"/>
      <c r="J212" s="135"/>
      <c r="K212" s="135"/>
      <c r="L212" s="135"/>
      <c r="M212" s="135"/>
    </row>
    <row r="213" ht="15.75" customHeight="1">
      <c r="B213" s="135"/>
      <c r="D213" s="135"/>
      <c r="I213" s="135"/>
      <c r="J213" s="135"/>
      <c r="K213" s="135"/>
      <c r="L213" s="135"/>
      <c r="M213" s="135"/>
    </row>
    <row r="214" ht="15.75" customHeight="1">
      <c r="B214" s="135"/>
      <c r="D214" s="135"/>
      <c r="I214" s="135"/>
      <c r="J214" s="135"/>
      <c r="K214" s="135"/>
      <c r="L214" s="135"/>
      <c r="M214" s="135"/>
    </row>
    <row r="215" ht="15.75" customHeight="1">
      <c r="B215" s="135"/>
      <c r="D215" s="135"/>
      <c r="I215" s="135"/>
      <c r="J215" s="135"/>
      <c r="K215" s="135"/>
      <c r="L215" s="135"/>
      <c r="M215" s="135"/>
    </row>
    <row r="216" ht="15.75" customHeight="1">
      <c r="B216" s="135"/>
      <c r="D216" s="135"/>
      <c r="I216" s="135"/>
      <c r="J216" s="135"/>
      <c r="K216" s="135"/>
      <c r="L216" s="135"/>
      <c r="M216" s="135"/>
    </row>
    <row r="217" ht="15.75" customHeight="1">
      <c r="B217" s="135"/>
      <c r="D217" s="135"/>
      <c r="I217" s="135"/>
      <c r="J217" s="135"/>
      <c r="K217" s="135"/>
      <c r="L217" s="135"/>
      <c r="M217" s="135"/>
    </row>
    <row r="218" ht="15.75" customHeight="1">
      <c r="B218" s="135"/>
      <c r="D218" s="135"/>
      <c r="I218" s="135"/>
      <c r="J218" s="135"/>
      <c r="K218" s="135"/>
      <c r="L218" s="135"/>
      <c r="M218" s="135"/>
    </row>
    <row r="219" ht="15.75" customHeight="1">
      <c r="B219" s="135"/>
      <c r="D219" s="135"/>
      <c r="I219" s="135"/>
      <c r="J219" s="135"/>
      <c r="K219" s="135"/>
      <c r="L219" s="135"/>
      <c r="M219" s="135"/>
    </row>
    <row r="220" ht="15.75" customHeight="1">
      <c r="B220" s="135"/>
      <c r="D220" s="135"/>
      <c r="I220" s="135"/>
      <c r="J220" s="135"/>
      <c r="K220" s="135"/>
      <c r="L220" s="135"/>
      <c r="M220" s="135"/>
    </row>
    <row r="221" ht="15.75" customHeight="1">
      <c r="B221" s="135"/>
      <c r="D221" s="135"/>
      <c r="I221" s="135"/>
      <c r="J221" s="135"/>
      <c r="K221" s="135"/>
      <c r="L221" s="135"/>
      <c r="M221" s="135"/>
    </row>
    <row r="222" ht="15.75" customHeight="1">
      <c r="B222" s="135"/>
      <c r="D222" s="135"/>
      <c r="I222" s="135"/>
      <c r="J222" s="135"/>
      <c r="K222" s="135"/>
      <c r="L222" s="135"/>
      <c r="M222" s="135"/>
    </row>
    <row r="223" ht="15.75" customHeight="1">
      <c r="B223" s="135"/>
      <c r="D223" s="135"/>
      <c r="I223" s="135"/>
      <c r="J223" s="135"/>
      <c r="K223" s="135"/>
      <c r="L223" s="135"/>
      <c r="M223" s="135"/>
    </row>
    <row r="224" ht="15.75" customHeight="1">
      <c r="B224" s="135"/>
      <c r="D224" s="135"/>
      <c r="I224" s="135"/>
      <c r="J224" s="135"/>
      <c r="K224" s="135"/>
      <c r="L224" s="135"/>
      <c r="M224" s="135"/>
    </row>
    <row r="225" ht="15.75" customHeight="1">
      <c r="B225" s="135"/>
      <c r="D225" s="135"/>
      <c r="I225" s="135"/>
      <c r="J225" s="135"/>
      <c r="K225" s="135"/>
      <c r="L225" s="135"/>
      <c r="M225" s="135"/>
    </row>
    <row r="226" ht="15.75" customHeight="1">
      <c r="B226" s="135"/>
      <c r="D226" s="135"/>
      <c r="I226" s="135"/>
      <c r="J226" s="135"/>
      <c r="K226" s="135"/>
      <c r="L226" s="135"/>
      <c r="M226" s="135"/>
    </row>
    <row r="227" ht="15.75" customHeight="1">
      <c r="B227" s="135"/>
      <c r="D227" s="135"/>
      <c r="I227" s="135"/>
      <c r="J227" s="135"/>
      <c r="K227" s="135"/>
      <c r="L227" s="135"/>
      <c r="M227" s="135"/>
    </row>
    <row r="228" ht="15.75" customHeight="1">
      <c r="B228" s="135"/>
      <c r="D228" s="135"/>
      <c r="I228" s="135"/>
      <c r="J228" s="135"/>
      <c r="K228" s="135"/>
      <c r="L228" s="135"/>
      <c r="M228" s="135"/>
    </row>
    <row r="229" ht="15.75" customHeight="1">
      <c r="B229" s="135"/>
      <c r="D229" s="135"/>
      <c r="I229" s="135"/>
      <c r="J229" s="135"/>
      <c r="K229" s="135"/>
      <c r="L229" s="135"/>
      <c r="M229" s="135"/>
    </row>
    <row r="230" ht="15.75" customHeight="1">
      <c r="B230" s="135"/>
      <c r="D230" s="135"/>
      <c r="I230" s="135"/>
      <c r="J230" s="135"/>
      <c r="K230" s="135"/>
      <c r="L230" s="135"/>
      <c r="M230" s="135"/>
    </row>
    <row r="231" ht="15.75" customHeight="1">
      <c r="B231" s="135"/>
      <c r="D231" s="135"/>
      <c r="I231" s="135"/>
      <c r="J231" s="135"/>
      <c r="K231" s="135"/>
      <c r="L231" s="135"/>
      <c r="M231" s="135"/>
    </row>
    <row r="232" ht="15.75" customHeight="1">
      <c r="B232" s="135"/>
      <c r="D232" s="135"/>
      <c r="I232" s="135"/>
      <c r="J232" s="135"/>
      <c r="K232" s="135"/>
      <c r="L232" s="135"/>
      <c r="M232" s="135"/>
    </row>
    <row r="233" ht="15.75" customHeight="1">
      <c r="B233" s="135"/>
      <c r="D233" s="135"/>
      <c r="I233" s="135"/>
      <c r="J233" s="135"/>
      <c r="K233" s="135"/>
      <c r="L233" s="135"/>
      <c r="M233" s="135"/>
    </row>
    <row r="234" ht="15.75" customHeight="1">
      <c r="B234" s="135"/>
      <c r="D234" s="135"/>
      <c r="I234" s="135"/>
      <c r="J234" s="135"/>
      <c r="K234" s="135"/>
      <c r="L234" s="135"/>
      <c r="M234" s="135"/>
    </row>
    <row r="235" ht="15.75" customHeight="1">
      <c r="B235" s="135"/>
      <c r="D235" s="135"/>
      <c r="I235" s="135"/>
      <c r="J235" s="135"/>
      <c r="K235" s="135"/>
      <c r="L235" s="135"/>
      <c r="M235" s="135"/>
    </row>
    <row r="236" ht="15.75" customHeight="1">
      <c r="B236" s="135"/>
      <c r="D236" s="135"/>
      <c r="I236" s="135"/>
      <c r="J236" s="135"/>
      <c r="K236" s="135"/>
      <c r="L236" s="135"/>
      <c r="M236" s="135"/>
    </row>
    <row r="237" ht="15.75" customHeight="1">
      <c r="B237" s="135"/>
      <c r="D237" s="135"/>
      <c r="I237" s="135"/>
      <c r="J237" s="135"/>
      <c r="K237" s="135"/>
      <c r="L237" s="135"/>
      <c r="M237" s="135"/>
    </row>
    <row r="238" ht="15.75" customHeight="1">
      <c r="B238" s="135"/>
      <c r="D238" s="135"/>
      <c r="I238" s="135"/>
      <c r="J238" s="135"/>
      <c r="K238" s="135"/>
      <c r="L238" s="135"/>
      <c r="M238" s="135"/>
    </row>
    <row r="239" ht="15.75" customHeight="1">
      <c r="B239" s="135"/>
      <c r="D239" s="135"/>
      <c r="I239" s="135"/>
      <c r="J239" s="135"/>
      <c r="K239" s="135"/>
      <c r="L239" s="135"/>
      <c r="M239" s="135"/>
    </row>
    <row r="240" ht="15.75" customHeight="1">
      <c r="B240" s="135"/>
      <c r="D240" s="135"/>
      <c r="I240" s="135"/>
      <c r="J240" s="135"/>
      <c r="K240" s="135"/>
      <c r="L240" s="135"/>
      <c r="M240" s="135"/>
    </row>
    <row r="241" ht="15.75" customHeight="1">
      <c r="B241" s="135"/>
      <c r="D241" s="135"/>
      <c r="I241" s="135"/>
      <c r="J241" s="135"/>
      <c r="K241" s="135"/>
      <c r="L241" s="135"/>
      <c r="M241" s="135"/>
    </row>
    <row r="242" ht="15.75" customHeight="1">
      <c r="B242" s="135"/>
      <c r="D242" s="135"/>
      <c r="I242" s="135"/>
      <c r="J242" s="135"/>
      <c r="K242" s="135"/>
      <c r="L242" s="135"/>
      <c r="M242" s="135"/>
    </row>
    <row r="243" ht="15.75" customHeight="1">
      <c r="B243" s="135"/>
      <c r="D243" s="135"/>
      <c r="I243" s="135"/>
      <c r="J243" s="135"/>
      <c r="K243" s="135"/>
      <c r="L243" s="135"/>
      <c r="M243" s="135"/>
    </row>
    <row r="244" ht="15.75" customHeight="1">
      <c r="B244" s="135"/>
      <c r="D244" s="135"/>
      <c r="I244" s="135"/>
      <c r="J244" s="135"/>
      <c r="K244" s="135"/>
      <c r="L244" s="135"/>
      <c r="M244" s="135"/>
    </row>
    <row r="245" ht="15.75" customHeight="1">
      <c r="B245" s="135"/>
      <c r="D245" s="135"/>
      <c r="I245" s="135"/>
      <c r="J245" s="135"/>
      <c r="K245" s="135"/>
      <c r="L245" s="135"/>
      <c r="M245" s="135"/>
    </row>
    <row r="246" ht="15.75" customHeight="1">
      <c r="B246" s="135"/>
      <c r="D246" s="135"/>
      <c r="I246" s="135"/>
      <c r="J246" s="135"/>
      <c r="K246" s="135"/>
      <c r="L246" s="135"/>
      <c r="M246" s="135"/>
    </row>
    <row r="247" ht="15.75" customHeight="1">
      <c r="B247" s="135"/>
      <c r="D247" s="135"/>
      <c r="I247" s="135"/>
      <c r="J247" s="135"/>
      <c r="K247" s="135"/>
      <c r="L247" s="135"/>
      <c r="M247" s="135"/>
    </row>
    <row r="248" ht="15.75" customHeight="1">
      <c r="B248" s="135"/>
      <c r="D248" s="135"/>
      <c r="I248" s="135"/>
      <c r="J248" s="135"/>
      <c r="K248" s="135"/>
      <c r="L248" s="135"/>
      <c r="M248" s="135"/>
    </row>
    <row r="249" ht="15.75" customHeight="1">
      <c r="B249" s="135"/>
      <c r="D249" s="135"/>
      <c r="I249" s="135"/>
      <c r="J249" s="135"/>
      <c r="K249" s="135"/>
      <c r="L249" s="135"/>
      <c r="M249" s="135"/>
    </row>
    <row r="250" ht="15.75" customHeight="1">
      <c r="B250" s="135"/>
      <c r="D250" s="135"/>
      <c r="I250" s="135"/>
      <c r="J250" s="135"/>
      <c r="K250" s="135"/>
      <c r="L250" s="135"/>
      <c r="M250" s="135"/>
    </row>
    <row r="251" ht="15.75" customHeight="1">
      <c r="B251" s="135"/>
      <c r="D251" s="135"/>
      <c r="I251" s="135"/>
      <c r="J251" s="135"/>
      <c r="K251" s="135"/>
      <c r="L251" s="135"/>
      <c r="M251" s="135"/>
    </row>
    <row r="252" ht="15.75" customHeight="1">
      <c r="B252" s="135"/>
      <c r="D252" s="135"/>
      <c r="I252" s="135"/>
      <c r="J252" s="135"/>
      <c r="K252" s="135"/>
      <c r="L252" s="135"/>
      <c r="M252" s="135"/>
    </row>
    <row r="253" ht="15.75" customHeight="1">
      <c r="B253" s="135"/>
      <c r="D253" s="135"/>
      <c r="I253" s="135"/>
      <c r="J253" s="135"/>
      <c r="K253" s="135"/>
      <c r="L253" s="135"/>
      <c r="M253" s="135"/>
    </row>
    <row r="254" ht="15.75" customHeight="1">
      <c r="B254" s="135"/>
      <c r="D254" s="135"/>
      <c r="I254" s="135"/>
      <c r="J254" s="135"/>
      <c r="K254" s="135"/>
      <c r="L254" s="135"/>
      <c r="M254" s="135"/>
    </row>
    <row r="255" ht="15.75" customHeight="1">
      <c r="B255" s="135"/>
      <c r="D255" s="135"/>
      <c r="I255" s="135"/>
      <c r="J255" s="135"/>
      <c r="K255" s="135"/>
      <c r="L255" s="135"/>
      <c r="M255" s="135"/>
    </row>
    <row r="256" ht="15.75" customHeight="1">
      <c r="B256" s="135"/>
      <c r="D256" s="135"/>
      <c r="I256" s="135"/>
      <c r="J256" s="135"/>
      <c r="K256" s="135"/>
      <c r="L256" s="135"/>
      <c r="M256" s="135"/>
    </row>
    <row r="257" ht="15.75" customHeight="1">
      <c r="B257" s="135"/>
      <c r="D257" s="135"/>
      <c r="I257" s="135"/>
      <c r="J257" s="135"/>
      <c r="K257" s="135"/>
      <c r="L257" s="135"/>
      <c r="M257" s="135"/>
    </row>
    <row r="258" ht="15.75" customHeight="1">
      <c r="B258" s="135"/>
      <c r="D258" s="135"/>
      <c r="I258" s="135"/>
      <c r="J258" s="135"/>
      <c r="K258" s="135"/>
      <c r="L258" s="135"/>
      <c r="M258" s="135"/>
    </row>
    <row r="259" ht="15.75" customHeight="1">
      <c r="B259" s="135"/>
      <c r="D259" s="135"/>
      <c r="I259" s="135"/>
      <c r="J259" s="135"/>
      <c r="K259" s="135"/>
      <c r="L259" s="135"/>
      <c r="M259" s="135"/>
    </row>
    <row r="260" ht="15.75" customHeight="1">
      <c r="B260" s="135"/>
      <c r="D260" s="135"/>
      <c r="I260" s="135"/>
      <c r="J260" s="135"/>
      <c r="K260" s="135"/>
      <c r="L260" s="135"/>
      <c r="M260" s="135"/>
    </row>
    <row r="261" ht="15.75" customHeight="1">
      <c r="B261" s="135"/>
      <c r="D261" s="135"/>
      <c r="I261" s="135"/>
      <c r="J261" s="135"/>
      <c r="K261" s="135"/>
      <c r="L261" s="135"/>
      <c r="M261" s="135"/>
    </row>
    <row r="262" ht="15.75" customHeight="1">
      <c r="B262" s="135"/>
      <c r="D262" s="135"/>
      <c r="I262" s="135"/>
      <c r="J262" s="135"/>
      <c r="K262" s="135"/>
      <c r="L262" s="135"/>
      <c r="M262" s="135"/>
    </row>
    <row r="263" ht="15.75" customHeight="1">
      <c r="B263" s="135"/>
      <c r="D263" s="135"/>
      <c r="I263" s="135"/>
      <c r="J263" s="135"/>
      <c r="K263" s="135"/>
      <c r="L263" s="135"/>
      <c r="M263" s="135"/>
    </row>
    <row r="264" ht="15.75" customHeight="1">
      <c r="B264" s="135"/>
      <c r="D264" s="135"/>
      <c r="I264" s="135"/>
      <c r="J264" s="135"/>
      <c r="K264" s="135"/>
      <c r="L264" s="135"/>
      <c r="M264" s="135"/>
    </row>
    <row r="265" ht="15.75" customHeight="1">
      <c r="B265" s="135"/>
      <c r="D265" s="135"/>
      <c r="I265" s="135"/>
      <c r="J265" s="135"/>
      <c r="K265" s="135"/>
      <c r="L265" s="135"/>
      <c r="M265" s="135"/>
    </row>
    <row r="266" ht="15.75" customHeight="1">
      <c r="B266" s="135"/>
      <c r="D266" s="135"/>
      <c r="I266" s="135"/>
      <c r="J266" s="135"/>
      <c r="K266" s="135"/>
      <c r="L266" s="135"/>
      <c r="M266" s="135"/>
    </row>
    <row r="267" ht="15.75" customHeight="1">
      <c r="B267" s="135"/>
      <c r="D267" s="135"/>
      <c r="I267" s="135"/>
      <c r="J267" s="135"/>
      <c r="K267" s="135"/>
      <c r="L267" s="135"/>
      <c r="M267" s="135"/>
    </row>
    <row r="268" ht="15.75" customHeight="1">
      <c r="B268" s="135"/>
      <c r="D268" s="135"/>
      <c r="I268" s="135"/>
      <c r="J268" s="135"/>
      <c r="K268" s="135"/>
      <c r="L268" s="135"/>
      <c r="M268" s="135"/>
    </row>
    <row r="269" ht="15.75" customHeight="1">
      <c r="B269" s="135"/>
      <c r="D269" s="135"/>
      <c r="I269" s="135"/>
      <c r="J269" s="135"/>
      <c r="K269" s="135"/>
      <c r="L269" s="135"/>
      <c r="M269" s="135"/>
    </row>
    <row r="270" ht="15.75" customHeight="1">
      <c r="B270" s="135"/>
      <c r="D270" s="135"/>
      <c r="I270" s="135"/>
      <c r="J270" s="135"/>
      <c r="K270" s="135"/>
      <c r="L270" s="135"/>
      <c r="M270" s="135"/>
    </row>
    <row r="271" ht="15.75" customHeight="1">
      <c r="B271" s="135"/>
      <c r="D271" s="135"/>
      <c r="I271" s="135"/>
      <c r="J271" s="135"/>
      <c r="K271" s="135"/>
      <c r="L271" s="135"/>
      <c r="M271" s="135"/>
    </row>
    <row r="272" ht="15.75" customHeight="1">
      <c r="B272" s="135"/>
      <c r="D272" s="135"/>
      <c r="I272" s="135"/>
      <c r="J272" s="135"/>
      <c r="K272" s="135"/>
      <c r="L272" s="135"/>
      <c r="M272" s="135"/>
    </row>
    <row r="273" ht="15.75" customHeight="1">
      <c r="B273" s="135"/>
      <c r="D273" s="135"/>
      <c r="I273" s="135"/>
      <c r="J273" s="135"/>
      <c r="K273" s="135"/>
      <c r="L273" s="135"/>
      <c r="M273" s="135"/>
    </row>
    <row r="274" ht="15.75" customHeight="1">
      <c r="B274" s="135"/>
      <c r="D274" s="135"/>
      <c r="I274" s="135"/>
      <c r="J274" s="135"/>
      <c r="K274" s="135"/>
      <c r="L274" s="135"/>
      <c r="M274" s="135"/>
    </row>
    <row r="275" ht="15.75" customHeight="1">
      <c r="B275" s="135"/>
      <c r="D275" s="135"/>
      <c r="I275" s="135"/>
      <c r="J275" s="135"/>
      <c r="K275" s="135"/>
      <c r="L275" s="135"/>
      <c r="M275" s="135"/>
    </row>
    <row r="276" ht="15.75" customHeight="1">
      <c r="B276" s="135"/>
      <c r="D276" s="135"/>
      <c r="I276" s="135"/>
      <c r="J276" s="135"/>
      <c r="K276" s="135"/>
      <c r="L276" s="135"/>
      <c r="M276" s="135"/>
    </row>
    <row r="277" ht="15.75" customHeight="1">
      <c r="B277" s="135"/>
      <c r="D277" s="135"/>
      <c r="I277" s="135"/>
      <c r="J277" s="135"/>
      <c r="K277" s="135"/>
      <c r="L277" s="135"/>
      <c r="M277" s="135"/>
    </row>
    <row r="278" ht="15.75" customHeight="1">
      <c r="B278" s="135"/>
      <c r="D278" s="135"/>
      <c r="I278" s="135"/>
      <c r="J278" s="135"/>
      <c r="K278" s="135"/>
      <c r="L278" s="135"/>
      <c r="M278" s="135"/>
    </row>
    <row r="279" ht="15.75" customHeight="1">
      <c r="B279" s="135"/>
      <c r="D279" s="135"/>
      <c r="I279" s="135"/>
      <c r="J279" s="135"/>
      <c r="K279" s="135"/>
      <c r="L279" s="135"/>
      <c r="M279" s="135"/>
    </row>
    <row r="280" ht="15.75" customHeight="1">
      <c r="B280" s="135"/>
      <c r="D280" s="135"/>
      <c r="I280" s="135"/>
      <c r="J280" s="135"/>
      <c r="K280" s="135"/>
      <c r="L280" s="135"/>
      <c r="M280" s="135"/>
    </row>
    <row r="281" ht="15.75" customHeight="1">
      <c r="B281" s="135"/>
      <c r="D281" s="135"/>
      <c r="I281" s="135"/>
      <c r="J281" s="135"/>
      <c r="K281" s="135"/>
      <c r="L281" s="135"/>
      <c r="M281" s="135"/>
    </row>
    <row r="282" ht="15.75" customHeight="1">
      <c r="B282" s="135"/>
      <c r="D282" s="135"/>
      <c r="I282" s="135"/>
      <c r="J282" s="135"/>
      <c r="K282" s="135"/>
      <c r="L282" s="135"/>
      <c r="M282" s="135"/>
    </row>
    <row r="283" ht="15.75" customHeight="1">
      <c r="B283" s="135"/>
      <c r="D283" s="135"/>
      <c r="I283" s="135"/>
      <c r="J283" s="135"/>
      <c r="K283" s="135"/>
      <c r="L283" s="135"/>
      <c r="M283" s="135"/>
    </row>
    <row r="284" ht="15.75" customHeight="1">
      <c r="B284" s="135"/>
      <c r="D284" s="135"/>
      <c r="I284" s="135"/>
      <c r="J284" s="135"/>
      <c r="K284" s="135"/>
      <c r="L284" s="135"/>
      <c r="M284" s="135"/>
    </row>
    <row r="285" ht="15.75" customHeight="1">
      <c r="B285" s="135"/>
      <c r="D285" s="135"/>
      <c r="I285" s="135"/>
      <c r="J285" s="135"/>
      <c r="K285" s="135"/>
      <c r="L285" s="135"/>
      <c r="M285" s="135"/>
    </row>
    <row r="286" ht="15.75" customHeight="1">
      <c r="B286" s="135"/>
      <c r="D286" s="135"/>
      <c r="I286" s="135"/>
      <c r="J286" s="135"/>
      <c r="K286" s="135"/>
      <c r="L286" s="135"/>
      <c r="M286" s="135"/>
    </row>
    <row r="287" ht="15.75" customHeight="1">
      <c r="B287" s="135"/>
      <c r="D287" s="135"/>
      <c r="I287" s="135"/>
      <c r="J287" s="135"/>
      <c r="K287" s="135"/>
      <c r="L287" s="135"/>
      <c r="M287" s="135"/>
    </row>
    <row r="288" ht="15.75" customHeight="1">
      <c r="B288" s="135"/>
      <c r="D288" s="135"/>
      <c r="I288" s="135"/>
      <c r="J288" s="135"/>
      <c r="K288" s="135"/>
      <c r="L288" s="135"/>
      <c r="M288" s="135"/>
    </row>
    <row r="289" ht="15.75" customHeight="1">
      <c r="B289" s="135"/>
      <c r="D289" s="135"/>
      <c r="I289" s="135"/>
      <c r="J289" s="135"/>
      <c r="K289" s="135"/>
      <c r="L289" s="135"/>
      <c r="M289" s="135"/>
    </row>
    <row r="290" ht="15.75" customHeight="1">
      <c r="B290" s="135"/>
      <c r="D290" s="135"/>
      <c r="I290" s="135"/>
      <c r="J290" s="135"/>
      <c r="K290" s="135"/>
      <c r="L290" s="135"/>
      <c r="M290" s="135"/>
    </row>
    <row r="291" ht="15.75" customHeight="1">
      <c r="B291" s="135"/>
      <c r="D291" s="135"/>
      <c r="I291" s="135"/>
      <c r="J291" s="135"/>
      <c r="K291" s="135"/>
      <c r="L291" s="135"/>
      <c r="M291" s="135"/>
    </row>
    <row r="292" ht="15.75" customHeight="1">
      <c r="B292" s="135"/>
      <c r="D292" s="135"/>
      <c r="I292" s="135"/>
      <c r="J292" s="135"/>
      <c r="K292" s="135"/>
      <c r="L292" s="135"/>
      <c r="M292" s="135"/>
    </row>
    <row r="293" ht="15.75" customHeight="1">
      <c r="B293" s="135"/>
      <c r="D293" s="135"/>
      <c r="I293" s="135"/>
      <c r="J293" s="135"/>
      <c r="K293" s="135"/>
      <c r="L293" s="135"/>
      <c r="M293" s="135"/>
    </row>
    <row r="294" ht="15.75" customHeight="1">
      <c r="B294" s="135"/>
      <c r="D294" s="135"/>
      <c r="I294" s="135"/>
      <c r="J294" s="135"/>
      <c r="K294" s="135"/>
      <c r="L294" s="135"/>
      <c r="M294" s="135"/>
    </row>
    <row r="295" ht="15.75" customHeight="1">
      <c r="B295" s="135"/>
      <c r="D295" s="135"/>
      <c r="I295" s="135"/>
      <c r="J295" s="135"/>
      <c r="K295" s="135"/>
      <c r="L295" s="135"/>
      <c r="M295" s="135"/>
    </row>
    <row r="296" ht="15.75" customHeight="1">
      <c r="B296" s="135"/>
      <c r="D296" s="135"/>
      <c r="I296" s="135"/>
      <c r="J296" s="135"/>
      <c r="K296" s="135"/>
      <c r="L296" s="135"/>
      <c r="M296" s="135"/>
    </row>
    <row r="297" ht="15.75" customHeight="1">
      <c r="B297" s="135"/>
      <c r="D297" s="135"/>
      <c r="I297" s="135"/>
      <c r="J297" s="135"/>
      <c r="K297" s="135"/>
      <c r="L297" s="135"/>
      <c r="M297" s="135"/>
    </row>
    <row r="298" ht="15.75" customHeight="1">
      <c r="B298" s="135"/>
      <c r="D298" s="135"/>
      <c r="I298" s="135"/>
      <c r="J298" s="135"/>
      <c r="K298" s="135"/>
      <c r="L298" s="135"/>
      <c r="M298" s="135"/>
    </row>
    <row r="299" ht="15.75" customHeight="1">
      <c r="B299" s="135"/>
      <c r="D299" s="135"/>
      <c r="I299" s="135"/>
      <c r="J299" s="135"/>
      <c r="K299" s="135"/>
      <c r="L299" s="135"/>
      <c r="M299" s="135"/>
    </row>
    <row r="300" ht="15.75" customHeight="1">
      <c r="B300" s="135"/>
      <c r="D300" s="135"/>
      <c r="I300" s="135"/>
      <c r="J300" s="135"/>
      <c r="K300" s="135"/>
      <c r="L300" s="135"/>
      <c r="M300" s="135"/>
    </row>
    <row r="301" ht="15.75" customHeight="1">
      <c r="B301" s="135"/>
      <c r="D301" s="135"/>
      <c r="I301" s="135"/>
      <c r="J301" s="135"/>
      <c r="K301" s="135"/>
      <c r="L301" s="135"/>
      <c r="M301" s="135"/>
    </row>
    <row r="302" ht="15.75" customHeight="1">
      <c r="B302" s="135"/>
      <c r="D302" s="135"/>
      <c r="I302" s="135"/>
      <c r="J302" s="135"/>
      <c r="K302" s="135"/>
      <c r="L302" s="135"/>
      <c r="M302" s="135"/>
    </row>
    <row r="303" ht="15.75" customHeight="1">
      <c r="B303" s="135"/>
      <c r="D303" s="135"/>
      <c r="I303" s="135"/>
      <c r="J303" s="135"/>
      <c r="K303" s="135"/>
      <c r="L303" s="135"/>
      <c r="M303" s="135"/>
    </row>
    <row r="304" ht="15.75" customHeight="1">
      <c r="B304" s="135"/>
      <c r="D304" s="135"/>
      <c r="I304" s="135"/>
      <c r="J304" s="135"/>
      <c r="K304" s="135"/>
      <c r="L304" s="135"/>
      <c r="M304" s="135"/>
    </row>
    <row r="305" ht="15.75" customHeight="1">
      <c r="B305" s="135"/>
      <c r="D305" s="135"/>
      <c r="I305" s="135"/>
      <c r="J305" s="135"/>
      <c r="K305" s="135"/>
      <c r="L305" s="135"/>
      <c r="M305" s="135"/>
    </row>
    <row r="306" ht="15.75" customHeight="1">
      <c r="B306" s="135"/>
      <c r="D306" s="135"/>
      <c r="I306" s="135"/>
      <c r="J306" s="135"/>
      <c r="K306" s="135"/>
      <c r="L306" s="135"/>
      <c r="M306" s="135"/>
    </row>
    <row r="307" ht="15.75" customHeight="1">
      <c r="B307" s="135"/>
      <c r="D307" s="135"/>
      <c r="I307" s="135"/>
      <c r="J307" s="135"/>
      <c r="K307" s="135"/>
      <c r="L307" s="135"/>
      <c r="M307" s="135"/>
    </row>
    <row r="308" ht="15.75" customHeight="1">
      <c r="B308" s="135"/>
      <c r="D308" s="135"/>
      <c r="I308" s="135"/>
      <c r="J308" s="135"/>
      <c r="K308" s="135"/>
      <c r="L308" s="135"/>
      <c r="M308" s="135"/>
    </row>
    <row r="309" ht="15.75" customHeight="1">
      <c r="B309" s="135"/>
      <c r="D309" s="135"/>
      <c r="I309" s="135"/>
      <c r="J309" s="135"/>
      <c r="K309" s="135"/>
      <c r="L309" s="135"/>
      <c r="M309" s="135"/>
    </row>
    <row r="310" ht="15.75" customHeight="1">
      <c r="B310" s="135"/>
      <c r="D310" s="135"/>
      <c r="I310" s="135"/>
      <c r="J310" s="135"/>
      <c r="K310" s="135"/>
      <c r="L310" s="135"/>
      <c r="M310" s="135"/>
    </row>
    <row r="311" ht="15.75" customHeight="1">
      <c r="B311" s="135"/>
      <c r="D311" s="135"/>
      <c r="I311" s="135"/>
      <c r="J311" s="135"/>
      <c r="K311" s="135"/>
      <c r="L311" s="135"/>
      <c r="M311" s="135"/>
    </row>
    <row r="312" ht="15.75" customHeight="1">
      <c r="B312" s="135"/>
      <c r="D312" s="135"/>
      <c r="I312" s="135"/>
      <c r="J312" s="135"/>
      <c r="K312" s="135"/>
      <c r="L312" s="135"/>
      <c r="M312" s="135"/>
    </row>
    <row r="313" ht="15.75" customHeight="1">
      <c r="B313" s="135"/>
      <c r="D313" s="135"/>
      <c r="I313" s="135"/>
      <c r="J313" s="135"/>
      <c r="K313" s="135"/>
      <c r="L313" s="135"/>
      <c r="M313" s="135"/>
    </row>
    <row r="314" ht="15.75" customHeight="1">
      <c r="B314" s="135"/>
      <c r="D314" s="135"/>
      <c r="I314" s="135"/>
      <c r="J314" s="135"/>
      <c r="K314" s="135"/>
      <c r="L314" s="135"/>
      <c r="M314" s="135"/>
    </row>
    <row r="315" ht="15.75" customHeight="1">
      <c r="B315" s="135"/>
      <c r="D315" s="135"/>
      <c r="I315" s="135"/>
      <c r="J315" s="135"/>
      <c r="K315" s="135"/>
      <c r="L315" s="135"/>
      <c r="M315" s="135"/>
    </row>
    <row r="316" ht="15.75" customHeight="1">
      <c r="B316" s="135"/>
      <c r="D316" s="135"/>
      <c r="I316" s="135"/>
      <c r="J316" s="135"/>
      <c r="K316" s="135"/>
      <c r="L316" s="135"/>
      <c r="M316" s="135"/>
    </row>
    <row r="317" ht="15.75" customHeight="1">
      <c r="B317" s="135"/>
      <c r="D317" s="135"/>
      <c r="I317" s="135"/>
      <c r="J317" s="135"/>
      <c r="K317" s="135"/>
      <c r="L317" s="135"/>
      <c r="M317" s="135"/>
    </row>
    <row r="318" ht="15.75" customHeight="1">
      <c r="B318" s="135"/>
      <c r="D318" s="135"/>
      <c r="I318" s="135"/>
      <c r="J318" s="135"/>
      <c r="K318" s="135"/>
      <c r="L318" s="135"/>
      <c r="M318" s="135"/>
    </row>
    <row r="319" ht="15.75" customHeight="1">
      <c r="B319" s="135"/>
      <c r="D319" s="135"/>
      <c r="I319" s="135"/>
      <c r="J319" s="135"/>
      <c r="K319" s="135"/>
      <c r="L319" s="135"/>
      <c r="M319" s="135"/>
    </row>
    <row r="320" ht="15.75" customHeight="1">
      <c r="B320" s="135"/>
      <c r="D320" s="135"/>
      <c r="I320" s="135"/>
      <c r="J320" s="135"/>
      <c r="K320" s="135"/>
      <c r="L320" s="135"/>
      <c r="M320" s="135"/>
    </row>
    <row r="321" ht="15.75" customHeight="1">
      <c r="B321" s="135"/>
      <c r="D321" s="135"/>
      <c r="I321" s="135"/>
      <c r="J321" s="135"/>
      <c r="K321" s="135"/>
      <c r="L321" s="135"/>
      <c r="M321" s="135"/>
    </row>
    <row r="322" ht="15.75" customHeight="1">
      <c r="B322" s="135"/>
      <c r="D322" s="135"/>
      <c r="I322" s="135"/>
      <c r="J322" s="135"/>
      <c r="K322" s="135"/>
      <c r="L322" s="135"/>
      <c r="M322" s="135"/>
    </row>
    <row r="323" ht="15.75" customHeight="1">
      <c r="B323" s="135"/>
      <c r="D323" s="135"/>
      <c r="I323" s="135"/>
      <c r="J323" s="135"/>
      <c r="K323" s="135"/>
      <c r="L323" s="135"/>
      <c r="M323" s="135"/>
    </row>
    <row r="324" ht="15.75" customHeight="1">
      <c r="B324" s="135"/>
      <c r="D324" s="135"/>
      <c r="I324" s="135"/>
      <c r="J324" s="135"/>
      <c r="K324" s="135"/>
      <c r="L324" s="135"/>
      <c r="M324" s="135"/>
    </row>
    <row r="325" ht="15.75" customHeight="1">
      <c r="B325" s="135"/>
      <c r="D325" s="135"/>
      <c r="I325" s="135"/>
      <c r="J325" s="135"/>
      <c r="K325" s="135"/>
      <c r="L325" s="135"/>
      <c r="M325" s="135"/>
    </row>
    <row r="326" ht="15.75" customHeight="1">
      <c r="B326" s="135"/>
      <c r="D326" s="135"/>
      <c r="I326" s="135"/>
      <c r="J326" s="135"/>
      <c r="K326" s="135"/>
      <c r="L326" s="135"/>
      <c r="M326" s="135"/>
    </row>
    <row r="327" ht="15.75" customHeight="1">
      <c r="B327" s="135"/>
      <c r="D327" s="135"/>
      <c r="I327" s="135"/>
      <c r="J327" s="135"/>
      <c r="K327" s="135"/>
      <c r="L327" s="135"/>
      <c r="M327" s="135"/>
    </row>
    <row r="328" ht="15.75" customHeight="1">
      <c r="B328" s="135"/>
      <c r="D328" s="135"/>
      <c r="I328" s="135"/>
      <c r="J328" s="135"/>
      <c r="K328" s="135"/>
      <c r="L328" s="135"/>
      <c r="M328" s="135"/>
    </row>
    <row r="329" ht="15.75" customHeight="1">
      <c r="B329" s="135"/>
      <c r="D329" s="135"/>
      <c r="I329" s="135"/>
      <c r="J329" s="135"/>
      <c r="K329" s="135"/>
      <c r="L329" s="135"/>
      <c r="M329" s="135"/>
    </row>
    <row r="330" ht="15.75" customHeight="1">
      <c r="B330" s="135"/>
      <c r="D330" s="135"/>
      <c r="I330" s="135"/>
      <c r="J330" s="135"/>
      <c r="K330" s="135"/>
      <c r="L330" s="135"/>
      <c r="M330" s="135"/>
    </row>
    <row r="331" ht="15.75" customHeight="1">
      <c r="B331" s="135"/>
      <c r="D331" s="135"/>
      <c r="I331" s="135"/>
      <c r="J331" s="135"/>
      <c r="K331" s="135"/>
      <c r="L331" s="135"/>
      <c r="M331" s="135"/>
    </row>
    <row r="332" ht="15.75" customHeight="1">
      <c r="B332" s="135"/>
      <c r="D332" s="135"/>
      <c r="I332" s="135"/>
      <c r="J332" s="135"/>
      <c r="K332" s="135"/>
      <c r="L332" s="135"/>
      <c r="M332" s="135"/>
    </row>
    <row r="333" ht="15.75" customHeight="1">
      <c r="B333" s="135"/>
      <c r="D333" s="135"/>
      <c r="I333" s="135"/>
      <c r="J333" s="135"/>
      <c r="K333" s="135"/>
      <c r="L333" s="135"/>
      <c r="M333" s="135"/>
    </row>
    <row r="334" ht="15.75" customHeight="1">
      <c r="B334" s="135"/>
      <c r="D334" s="135"/>
      <c r="I334" s="135"/>
      <c r="J334" s="135"/>
      <c r="K334" s="135"/>
      <c r="L334" s="135"/>
      <c r="M334" s="135"/>
    </row>
    <row r="335" ht="15.75" customHeight="1">
      <c r="B335" s="135"/>
      <c r="D335" s="135"/>
      <c r="I335" s="135"/>
      <c r="J335" s="135"/>
      <c r="K335" s="135"/>
      <c r="L335" s="135"/>
      <c r="M335" s="135"/>
    </row>
    <row r="336" ht="15.75" customHeight="1">
      <c r="B336" s="135"/>
      <c r="D336" s="135"/>
      <c r="I336" s="135"/>
      <c r="J336" s="135"/>
      <c r="K336" s="135"/>
      <c r="L336" s="135"/>
      <c r="M336" s="135"/>
    </row>
    <row r="337" ht="15.75" customHeight="1">
      <c r="B337" s="135"/>
      <c r="D337" s="135"/>
      <c r="I337" s="135"/>
      <c r="J337" s="135"/>
      <c r="K337" s="135"/>
      <c r="L337" s="135"/>
      <c r="M337" s="135"/>
    </row>
    <row r="338" ht="15.75" customHeight="1">
      <c r="B338" s="135"/>
      <c r="D338" s="135"/>
      <c r="I338" s="135"/>
      <c r="J338" s="135"/>
      <c r="K338" s="135"/>
      <c r="L338" s="135"/>
      <c r="M338" s="135"/>
    </row>
    <row r="339" ht="15.75" customHeight="1">
      <c r="B339" s="135"/>
      <c r="D339" s="135"/>
      <c r="I339" s="135"/>
      <c r="J339" s="135"/>
      <c r="K339" s="135"/>
      <c r="L339" s="135"/>
      <c r="M339" s="135"/>
    </row>
    <row r="340" ht="15.75" customHeight="1">
      <c r="B340" s="135"/>
      <c r="D340" s="135"/>
      <c r="I340" s="135"/>
      <c r="J340" s="135"/>
      <c r="K340" s="135"/>
      <c r="L340" s="135"/>
      <c r="M340" s="135"/>
    </row>
    <row r="341" ht="15.75" customHeight="1">
      <c r="B341" s="135"/>
      <c r="D341" s="135"/>
      <c r="I341" s="135"/>
      <c r="J341" s="135"/>
      <c r="K341" s="135"/>
      <c r="L341" s="135"/>
      <c r="M341" s="135"/>
    </row>
    <row r="342" ht="15.75" customHeight="1">
      <c r="B342" s="135"/>
      <c r="D342" s="135"/>
      <c r="I342" s="135"/>
      <c r="J342" s="135"/>
      <c r="K342" s="135"/>
      <c r="L342" s="135"/>
      <c r="M342" s="135"/>
    </row>
    <row r="343" ht="15.75" customHeight="1">
      <c r="B343" s="135"/>
      <c r="D343" s="135"/>
      <c r="I343" s="135"/>
      <c r="J343" s="135"/>
      <c r="K343" s="135"/>
      <c r="L343" s="135"/>
      <c r="M343" s="135"/>
    </row>
    <row r="344" ht="15.75" customHeight="1">
      <c r="B344" s="135"/>
      <c r="D344" s="135"/>
      <c r="I344" s="135"/>
      <c r="J344" s="135"/>
      <c r="K344" s="135"/>
      <c r="L344" s="135"/>
      <c r="M344" s="135"/>
    </row>
    <row r="345" ht="15.75" customHeight="1">
      <c r="B345" s="135"/>
      <c r="D345" s="135"/>
      <c r="I345" s="135"/>
      <c r="J345" s="135"/>
      <c r="K345" s="135"/>
      <c r="L345" s="135"/>
      <c r="M345" s="135"/>
    </row>
    <row r="346" ht="15.75" customHeight="1">
      <c r="B346" s="135"/>
      <c r="D346" s="135"/>
      <c r="I346" s="135"/>
      <c r="J346" s="135"/>
      <c r="K346" s="135"/>
      <c r="L346" s="135"/>
      <c r="M346" s="135"/>
    </row>
    <row r="347" ht="15.75" customHeight="1">
      <c r="B347" s="135"/>
      <c r="D347" s="135"/>
      <c r="I347" s="135"/>
      <c r="J347" s="135"/>
      <c r="K347" s="135"/>
      <c r="L347" s="135"/>
      <c r="M347" s="135"/>
    </row>
    <row r="348" ht="15.75" customHeight="1">
      <c r="B348" s="135"/>
      <c r="D348" s="135"/>
      <c r="I348" s="135"/>
      <c r="J348" s="135"/>
      <c r="K348" s="135"/>
      <c r="L348" s="135"/>
      <c r="M348" s="135"/>
    </row>
    <row r="349" ht="15.75" customHeight="1">
      <c r="B349" s="135"/>
      <c r="D349" s="135"/>
      <c r="I349" s="135"/>
      <c r="J349" s="135"/>
      <c r="K349" s="135"/>
      <c r="L349" s="135"/>
      <c r="M349" s="135"/>
    </row>
    <row r="350" ht="15.75" customHeight="1">
      <c r="B350" s="135"/>
      <c r="D350" s="135"/>
      <c r="I350" s="135"/>
      <c r="J350" s="135"/>
      <c r="K350" s="135"/>
      <c r="L350" s="135"/>
      <c r="M350" s="135"/>
    </row>
    <row r="351" ht="15.75" customHeight="1">
      <c r="B351" s="135"/>
      <c r="D351" s="135"/>
      <c r="I351" s="135"/>
      <c r="J351" s="135"/>
      <c r="K351" s="135"/>
      <c r="L351" s="135"/>
      <c r="M351" s="135"/>
    </row>
    <row r="352" ht="15.75" customHeight="1">
      <c r="B352" s="135"/>
      <c r="D352" s="135"/>
      <c r="I352" s="135"/>
      <c r="J352" s="135"/>
      <c r="K352" s="135"/>
      <c r="L352" s="135"/>
      <c r="M352" s="135"/>
    </row>
    <row r="353" ht="15.75" customHeight="1">
      <c r="B353" s="135"/>
      <c r="D353" s="135"/>
      <c r="I353" s="135"/>
      <c r="J353" s="135"/>
      <c r="K353" s="135"/>
      <c r="L353" s="135"/>
      <c r="M353" s="135"/>
    </row>
    <row r="354" ht="15.75" customHeight="1">
      <c r="B354" s="135"/>
      <c r="D354" s="135"/>
      <c r="I354" s="135"/>
      <c r="J354" s="135"/>
      <c r="K354" s="135"/>
      <c r="L354" s="135"/>
      <c r="M354" s="135"/>
    </row>
    <row r="355" ht="15.75" customHeight="1">
      <c r="B355" s="135"/>
      <c r="D355" s="135"/>
      <c r="I355" s="135"/>
      <c r="J355" s="135"/>
      <c r="K355" s="135"/>
      <c r="L355" s="135"/>
      <c r="M355" s="135"/>
    </row>
    <row r="356" ht="15.75" customHeight="1">
      <c r="B356" s="135"/>
      <c r="D356" s="135"/>
      <c r="I356" s="135"/>
      <c r="J356" s="135"/>
      <c r="K356" s="135"/>
      <c r="L356" s="135"/>
      <c r="M356" s="135"/>
    </row>
    <row r="357" ht="15.75" customHeight="1">
      <c r="B357" s="135"/>
      <c r="D357" s="135"/>
      <c r="I357" s="135"/>
      <c r="J357" s="135"/>
      <c r="K357" s="135"/>
      <c r="L357" s="135"/>
      <c r="M357" s="135"/>
    </row>
    <row r="358" ht="15.75" customHeight="1">
      <c r="B358" s="135"/>
      <c r="D358" s="135"/>
      <c r="I358" s="135"/>
      <c r="J358" s="135"/>
      <c r="K358" s="135"/>
      <c r="L358" s="135"/>
      <c r="M358" s="135"/>
    </row>
    <row r="359" ht="15.75" customHeight="1">
      <c r="B359" s="135"/>
      <c r="D359" s="135"/>
      <c r="I359" s="135"/>
      <c r="J359" s="135"/>
      <c r="K359" s="135"/>
      <c r="L359" s="135"/>
      <c r="M359" s="135"/>
    </row>
    <row r="360" ht="15.75" customHeight="1">
      <c r="B360" s="135"/>
      <c r="D360" s="135"/>
      <c r="I360" s="135"/>
      <c r="J360" s="135"/>
      <c r="K360" s="135"/>
      <c r="L360" s="135"/>
      <c r="M360" s="135"/>
    </row>
    <row r="361" ht="15.75" customHeight="1">
      <c r="B361" s="135"/>
      <c r="D361" s="135"/>
      <c r="I361" s="135"/>
      <c r="J361" s="135"/>
      <c r="K361" s="135"/>
      <c r="L361" s="135"/>
      <c r="M361" s="135"/>
    </row>
    <row r="362" ht="15.75" customHeight="1">
      <c r="B362" s="135"/>
      <c r="D362" s="135"/>
      <c r="I362" s="135"/>
      <c r="J362" s="135"/>
      <c r="K362" s="135"/>
      <c r="L362" s="135"/>
      <c r="M362" s="135"/>
    </row>
    <row r="363" ht="15.75" customHeight="1">
      <c r="B363" s="135"/>
      <c r="D363" s="135"/>
      <c r="I363" s="135"/>
      <c r="J363" s="135"/>
      <c r="K363" s="135"/>
      <c r="L363" s="135"/>
      <c r="M363" s="135"/>
    </row>
    <row r="364" ht="15.75" customHeight="1">
      <c r="B364" s="135"/>
      <c r="D364" s="135"/>
      <c r="I364" s="135"/>
      <c r="J364" s="135"/>
      <c r="K364" s="135"/>
      <c r="L364" s="135"/>
      <c r="M364" s="135"/>
    </row>
    <row r="365" ht="15.75" customHeight="1">
      <c r="B365" s="135"/>
      <c r="D365" s="135"/>
      <c r="I365" s="135"/>
      <c r="J365" s="135"/>
      <c r="K365" s="135"/>
      <c r="L365" s="135"/>
      <c r="M365" s="135"/>
    </row>
    <row r="366" ht="15.75" customHeight="1">
      <c r="B366" s="135"/>
      <c r="D366" s="135"/>
      <c r="I366" s="135"/>
      <c r="J366" s="135"/>
      <c r="K366" s="135"/>
      <c r="L366" s="135"/>
      <c r="M366" s="135"/>
    </row>
    <row r="367" ht="15.75" customHeight="1">
      <c r="B367" s="135"/>
      <c r="D367" s="135"/>
      <c r="I367" s="135"/>
      <c r="J367" s="135"/>
      <c r="K367" s="135"/>
      <c r="L367" s="135"/>
      <c r="M367" s="135"/>
    </row>
    <row r="368" ht="15.75" customHeight="1">
      <c r="B368" s="135"/>
      <c r="D368" s="135"/>
      <c r="I368" s="135"/>
      <c r="J368" s="135"/>
      <c r="K368" s="135"/>
      <c r="L368" s="135"/>
      <c r="M368" s="135"/>
    </row>
    <row r="369" ht="15.75" customHeight="1">
      <c r="B369" s="135"/>
      <c r="D369" s="135"/>
      <c r="I369" s="135"/>
      <c r="J369" s="135"/>
      <c r="K369" s="135"/>
      <c r="L369" s="135"/>
      <c r="M369" s="135"/>
    </row>
    <row r="370" ht="15.75" customHeight="1">
      <c r="B370" s="135"/>
      <c r="D370" s="135"/>
      <c r="I370" s="135"/>
      <c r="J370" s="135"/>
      <c r="K370" s="135"/>
      <c r="L370" s="135"/>
      <c r="M370" s="135"/>
    </row>
    <row r="371" ht="15.75" customHeight="1">
      <c r="B371" s="135"/>
      <c r="D371" s="135"/>
      <c r="I371" s="135"/>
      <c r="J371" s="135"/>
      <c r="K371" s="135"/>
      <c r="L371" s="135"/>
      <c r="M371" s="135"/>
    </row>
    <row r="372" ht="15.75" customHeight="1">
      <c r="B372" s="135"/>
      <c r="D372" s="135"/>
      <c r="I372" s="135"/>
      <c r="J372" s="135"/>
      <c r="K372" s="135"/>
      <c r="L372" s="135"/>
      <c r="M372" s="135"/>
    </row>
    <row r="373" ht="15.75" customHeight="1">
      <c r="B373" s="135"/>
      <c r="D373" s="135"/>
      <c r="I373" s="135"/>
      <c r="J373" s="135"/>
      <c r="K373" s="135"/>
      <c r="L373" s="135"/>
      <c r="M373" s="135"/>
    </row>
    <row r="374" ht="15.75" customHeight="1">
      <c r="B374" s="135"/>
      <c r="D374" s="135"/>
      <c r="I374" s="135"/>
      <c r="J374" s="135"/>
      <c r="K374" s="135"/>
      <c r="L374" s="135"/>
      <c r="M374" s="135"/>
    </row>
    <row r="375" ht="15.75" customHeight="1">
      <c r="B375" s="135"/>
      <c r="D375" s="135"/>
      <c r="I375" s="135"/>
      <c r="J375" s="135"/>
      <c r="K375" s="135"/>
      <c r="L375" s="135"/>
      <c r="M375" s="135"/>
    </row>
    <row r="376" ht="15.75" customHeight="1">
      <c r="B376" s="135"/>
      <c r="D376" s="135"/>
      <c r="I376" s="135"/>
      <c r="J376" s="135"/>
      <c r="K376" s="135"/>
      <c r="L376" s="135"/>
      <c r="M376" s="135"/>
    </row>
    <row r="377" ht="15.75" customHeight="1">
      <c r="B377" s="135"/>
      <c r="D377" s="135"/>
      <c r="I377" s="135"/>
      <c r="J377" s="135"/>
      <c r="K377" s="135"/>
      <c r="L377" s="135"/>
      <c r="M377" s="135"/>
    </row>
    <row r="378" ht="15.75" customHeight="1">
      <c r="B378" s="135"/>
      <c r="D378" s="135"/>
      <c r="I378" s="135"/>
      <c r="J378" s="135"/>
      <c r="K378" s="135"/>
      <c r="L378" s="135"/>
      <c r="M378" s="135"/>
    </row>
    <row r="379" ht="15.75" customHeight="1">
      <c r="B379" s="135"/>
      <c r="D379" s="135"/>
      <c r="I379" s="135"/>
      <c r="J379" s="135"/>
      <c r="K379" s="135"/>
      <c r="L379" s="135"/>
      <c r="M379" s="135"/>
    </row>
    <row r="380" ht="15.75" customHeight="1">
      <c r="B380" s="135"/>
      <c r="D380" s="135"/>
      <c r="I380" s="135"/>
      <c r="J380" s="135"/>
      <c r="K380" s="135"/>
      <c r="L380" s="135"/>
      <c r="M380" s="135"/>
    </row>
    <row r="381" ht="15.75" customHeight="1">
      <c r="B381" s="135"/>
      <c r="D381" s="135"/>
      <c r="I381" s="135"/>
      <c r="J381" s="135"/>
      <c r="K381" s="135"/>
      <c r="L381" s="135"/>
      <c r="M381" s="135"/>
    </row>
    <row r="382" ht="15.75" customHeight="1">
      <c r="B382" s="135"/>
      <c r="D382" s="135"/>
      <c r="I382" s="135"/>
      <c r="J382" s="135"/>
      <c r="K382" s="135"/>
      <c r="L382" s="135"/>
      <c r="M382" s="135"/>
    </row>
    <row r="383" ht="15.75" customHeight="1">
      <c r="B383" s="135"/>
      <c r="D383" s="135"/>
      <c r="I383" s="135"/>
      <c r="J383" s="135"/>
      <c r="K383" s="135"/>
      <c r="L383" s="135"/>
      <c r="M383" s="135"/>
    </row>
    <row r="384" ht="15.75" customHeight="1">
      <c r="B384" s="135"/>
      <c r="D384" s="135"/>
      <c r="I384" s="135"/>
      <c r="J384" s="135"/>
      <c r="K384" s="135"/>
      <c r="L384" s="135"/>
      <c r="M384" s="135"/>
    </row>
    <row r="385" ht="15.75" customHeight="1">
      <c r="B385" s="135"/>
      <c r="D385" s="135"/>
      <c r="I385" s="135"/>
      <c r="J385" s="135"/>
      <c r="K385" s="135"/>
      <c r="L385" s="135"/>
      <c r="M385" s="135"/>
    </row>
    <row r="386" ht="15.75" customHeight="1">
      <c r="B386" s="135"/>
      <c r="D386" s="135"/>
      <c r="I386" s="135"/>
      <c r="J386" s="135"/>
      <c r="K386" s="135"/>
      <c r="L386" s="135"/>
      <c r="M386" s="135"/>
    </row>
    <row r="387" ht="15.75" customHeight="1">
      <c r="B387" s="135"/>
      <c r="D387" s="135"/>
      <c r="I387" s="135"/>
      <c r="J387" s="135"/>
      <c r="K387" s="135"/>
      <c r="L387" s="135"/>
      <c r="M387" s="135"/>
    </row>
    <row r="388" ht="15.75" customHeight="1">
      <c r="B388" s="135"/>
      <c r="D388" s="135"/>
      <c r="I388" s="135"/>
      <c r="J388" s="135"/>
      <c r="K388" s="135"/>
      <c r="L388" s="135"/>
      <c r="M388" s="135"/>
    </row>
    <row r="389" ht="15.75" customHeight="1">
      <c r="B389" s="135"/>
      <c r="D389" s="135"/>
      <c r="I389" s="135"/>
      <c r="J389" s="135"/>
      <c r="K389" s="135"/>
      <c r="L389" s="135"/>
      <c r="M389" s="135"/>
    </row>
    <row r="390" ht="15.75" customHeight="1">
      <c r="B390" s="135"/>
      <c r="D390" s="135"/>
      <c r="I390" s="135"/>
      <c r="J390" s="135"/>
      <c r="K390" s="135"/>
      <c r="L390" s="135"/>
      <c r="M390" s="135"/>
    </row>
    <row r="391" ht="15.75" customHeight="1">
      <c r="B391" s="135"/>
      <c r="D391" s="135"/>
      <c r="I391" s="135"/>
      <c r="J391" s="135"/>
      <c r="K391" s="135"/>
      <c r="L391" s="135"/>
      <c r="M391" s="135"/>
    </row>
    <row r="392" ht="15.75" customHeight="1">
      <c r="B392" s="135"/>
      <c r="D392" s="135"/>
      <c r="I392" s="135"/>
      <c r="J392" s="135"/>
      <c r="K392" s="135"/>
      <c r="L392" s="135"/>
      <c r="M392" s="135"/>
    </row>
    <row r="393" ht="15.75" customHeight="1">
      <c r="B393" s="135"/>
      <c r="D393" s="135"/>
      <c r="I393" s="135"/>
      <c r="J393" s="135"/>
      <c r="K393" s="135"/>
      <c r="L393" s="135"/>
      <c r="M393" s="135"/>
    </row>
    <row r="394" ht="15.75" customHeight="1">
      <c r="B394" s="135"/>
      <c r="D394" s="135"/>
      <c r="I394" s="135"/>
      <c r="J394" s="135"/>
      <c r="K394" s="135"/>
      <c r="L394" s="135"/>
      <c r="M394" s="135"/>
    </row>
    <row r="395" ht="15.75" customHeight="1">
      <c r="B395" s="135"/>
      <c r="D395" s="135"/>
      <c r="I395" s="135"/>
      <c r="J395" s="135"/>
      <c r="K395" s="135"/>
      <c r="L395" s="135"/>
      <c r="M395" s="135"/>
    </row>
    <row r="396" ht="15.75" customHeight="1">
      <c r="B396" s="135"/>
      <c r="D396" s="135"/>
      <c r="I396" s="135"/>
      <c r="J396" s="135"/>
      <c r="K396" s="135"/>
      <c r="L396" s="135"/>
      <c r="M396" s="135"/>
    </row>
    <row r="397" ht="15.75" customHeight="1">
      <c r="B397" s="135"/>
      <c r="D397" s="135"/>
      <c r="I397" s="135"/>
      <c r="J397" s="135"/>
      <c r="K397" s="135"/>
      <c r="L397" s="135"/>
      <c r="M397" s="135"/>
    </row>
    <row r="398" ht="15.75" customHeight="1">
      <c r="B398" s="135"/>
      <c r="D398" s="135"/>
      <c r="I398" s="135"/>
      <c r="J398" s="135"/>
      <c r="K398" s="135"/>
      <c r="L398" s="135"/>
      <c r="M398" s="135"/>
    </row>
    <row r="399" ht="15.75" customHeight="1">
      <c r="B399" s="135"/>
      <c r="D399" s="135"/>
      <c r="I399" s="135"/>
      <c r="J399" s="135"/>
      <c r="K399" s="135"/>
      <c r="L399" s="135"/>
      <c r="M399" s="135"/>
    </row>
    <row r="400" ht="15.75" customHeight="1">
      <c r="B400" s="135"/>
      <c r="D400" s="135"/>
      <c r="I400" s="135"/>
      <c r="J400" s="135"/>
      <c r="K400" s="135"/>
      <c r="L400" s="135"/>
      <c r="M400" s="135"/>
    </row>
    <row r="401" ht="15.75" customHeight="1">
      <c r="B401" s="135"/>
      <c r="D401" s="135"/>
      <c r="I401" s="135"/>
      <c r="J401" s="135"/>
      <c r="K401" s="135"/>
      <c r="L401" s="135"/>
      <c r="M401" s="135"/>
    </row>
    <row r="402" ht="15.75" customHeight="1">
      <c r="B402" s="135"/>
      <c r="D402" s="135"/>
      <c r="I402" s="135"/>
      <c r="J402" s="135"/>
      <c r="K402" s="135"/>
      <c r="L402" s="135"/>
      <c r="M402" s="135"/>
    </row>
    <row r="403" ht="15.75" customHeight="1">
      <c r="B403" s="135"/>
      <c r="D403" s="135"/>
      <c r="I403" s="135"/>
      <c r="J403" s="135"/>
      <c r="K403" s="135"/>
      <c r="L403" s="135"/>
      <c r="M403" s="135"/>
    </row>
    <row r="404" ht="15.75" customHeight="1">
      <c r="B404" s="135"/>
      <c r="D404" s="135"/>
      <c r="I404" s="135"/>
      <c r="J404" s="135"/>
      <c r="K404" s="135"/>
      <c r="L404" s="135"/>
      <c r="M404" s="135"/>
    </row>
    <row r="405" ht="15.75" customHeight="1">
      <c r="B405" s="135"/>
      <c r="D405" s="135"/>
      <c r="I405" s="135"/>
      <c r="J405" s="135"/>
      <c r="K405" s="135"/>
      <c r="L405" s="135"/>
      <c r="M405" s="135"/>
    </row>
    <row r="406" ht="15.75" customHeight="1">
      <c r="B406" s="135"/>
      <c r="D406" s="135"/>
      <c r="I406" s="135"/>
      <c r="J406" s="135"/>
      <c r="K406" s="135"/>
      <c r="L406" s="135"/>
      <c r="M406" s="135"/>
    </row>
    <row r="407" ht="15.75" customHeight="1">
      <c r="B407" s="135"/>
      <c r="D407" s="135"/>
      <c r="I407" s="135"/>
      <c r="J407" s="135"/>
      <c r="K407" s="135"/>
      <c r="L407" s="135"/>
      <c r="M407" s="135"/>
    </row>
    <row r="408" ht="15.75" customHeight="1">
      <c r="B408" s="135"/>
      <c r="D408" s="135"/>
      <c r="I408" s="135"/>
      <c r="J408" s="135"/>
      <c r="K408" s="135"/>
      <c r="L408" s="135"/>
      <c r="M408" s="135"/>
    </row>
    <row r="409" ht="15.75" customHeight="1">
      <c r="B409" s="135"/>
      <c r="D409" s="135"/>
      <c r="I409" s="135"/>
      <c r="J409" s="135"/>
      <c r="K409" s="135"/>
      <c r="L409" s="135"/>
      <c r="M409" s="135"/>
    </row>
    <row r="410" ht="15.75" customHeight="1">
      <c r="B410" s="135"/>
      <c r="D410" s="135"/>
      <c r="I410" s="135"/>
      <c r="J410" s="135"/>
      <c r="K410" s="135"/>
      <c r="L410" s="135"/>
      <c r="M410" s="135"/>
    </row>
    <row r="411" ht="15.75" customHeight="1">
      <c r="B411" s="135"/>
      <c r="D411" s="135"/>
      <c r="I411" s="135"/>
      <c r="J411" s="135"/>
      <c r="K411" s="135"/>
      <c r="L411" s="135"/>
      <c r="M411" s="135"/>
    </row>
    <row r="412" ht="15.75" customHeight="1">
      <c r="B412" s="135"/>
      <c r="D412" s="135"/>
      <c r="I412" s="135"/>
      <c r="J412" s="135"/>
      <c r="K412" s="135"/>
      <c r="L412" s="135"/>
      <c r="M412" s="135"/>
    </row>
    <row r="413" ht="15.75" customHeight="1">
      <c r="B413" s="135"/>
      <c r="D413" s="135"/>
      <c r="I413" s="135"/>
      <c r="J413" s="135"/>
      <c r="K413" s="135"/>
      <c r="L413" s="135"/>
      <c r="M413" s="135"/>
    </row>
    <row r="414" ht="15.75" customHeight="1">
      <c r="B414" s="135"/>
      <c r="D414" s="135"/>
      <c r="I414" s="135"/>
      <c r="J414" s="135"/>
      <c r="K414" s="135"/>
      <c r="L414" s="135"/>
      <c r="M414" s="135"/>
    </row>
    <row r="415" ht="15.75" customHeight="1">
      <c r="B415" s="135"/>
      <c r="D415" s="135"/>
      <c r="I415" s="135"/>
      <c r="J415" s="135"/>
      <c r="K415" s="135"/>
      <c r="L415" s="135"/>
      <c r="M415" s="135"/>
    </row>
    <row r="416" ht="15.75" customHeight="1">
      <c r="B416" s="135"/>
      <c r="D416" s="135"/>
      <c r="I416" s="135"/>
      <c r="J416" s="135"/>
      <c r="K416" s="135"/>
      <c r="L416" s="135"/>
      <c r="M416" s="135"/>
    </row>
    <row r="417" ht="15.75" customHeight="1">
      <c r="B417" s="135"/>
      <c r="D417" s="135"/>
      <c r="I417" s="135"/>
      <c r="J417" s="135"/>
      <c r="K417" s="135"/>
      <c r="L417" s="135"/>
      <c r="M417" s="135"/>
    </row>
    <row r="418" ht="15.75" customHeight="1">
      <c r="B418" s="135"/>
      <c r="D418" s="135"/>
      <c r="I418" s="135"/>
      <c r="J418" s="135"/>
      <c r="K418" s="135"/>
      <c r="L418" s="135"/>
      <c r="M418" s="135"/>
    </row>
    <row r="419" ht="15.75" customHeight="1">
      <c r="B419" s="135"/>
      <c r="D419" s="135"/>
      <c r="I419" s="135"/>
      <c r="J419" s="135"/>
      <c r="K419" s="135"/>
      <c r="L419" s="135"/>
      <c r="M419" s="135"/>
    </row>
    <row r="420" ht="15.75" customHeight="1">
      <c r="B420" s="135"/>
      <c r="D420" s="135"/>
      <c r="I420" s="135"/>
      <c r="J420" s="135"/>
      <c r="K420" s="135"/>
      <c r="L420" s="135"/>
      <c r="M420" s="135"/>
    </row>
    <row r="421" ht="15.75" customHeight="1">
      <c r="B421" s="135"/>
      <c r="D421" s="135"/>
      <c r="I421" s="135"/>
      <c r="J421" s="135"/>
      <c r="K421" s="135"/>
      <c r="L421" s="135"/>
      <c r="M421" s="135"/>
    </row>
    <row r="422" ht="15.75" customHeight="1">
      <c r="B422" s="135"/>
      <c r="D422" s="135"/>
      <c r="I422" s="135"/>
      <c r="J422" s="135"/>
      <c r="K422" s="135"/>
      <c r="L422" s="135"/>
      <c r="M422" s="135"/>
    </row>
    <row r="423" ht="15.75" customHeight="1">
      <c r="B423" s="135"/>
      <c r="D423" s="135"/>
      <c r="I423" s="135"/>
      <c r="J423" s="135"/>
      <c r="K423" s="135"/>
      <c r="L423" s="135"/>
      <c r="M423" s="135"/>
    </row>
    <row r="424" ht="15.75" customHeight="1">
      <c r="B424" s="135"/>
      <c r="D424" s="135"/>
      <c r="I424" s="135"/>
      <c r="J424" s="135"/>
      <c r="K424" s="135"/>
      <c r="L424" s="135"/>
      <c r="M424" s="135"/>
    </row>
    <row r="425" ht="15.75" customHeight="1">
      <c r="B425" s="135"/>
      <c r="D425" s="135"/>
      <c r="I425" s="135"/>
      <c r="J425" s="135"/>
      <c r="K425" s="135"/>
      <c r="L425" s="135"/>
      <c r="M425" s="135"/>
    </row>
    <row r="426" ht="15.75" customHeight="1">
      <c r="B426" s="135"/>
      <c r="D426" s="135"/>
      <c r="I426" s="135"/>
      <c r="J426" s="135"/>
      <c r="K426" s="135"/>
      <c r="L426" s="135"/>
      <c r="M426" s="135"/>
    </row>
    <row r="427" ht="15.75" customHeight="1">
      <c r="B427" s="135"/>
      <c r="D427" s="135"/>
      <c r="I427" s="135"/>
      <c r="J427" s="135"/>
      <c r="K427" s="135"/>
      <c r="L427" s="135"/>
      <c r="M427" s="135"/>
    </row>
    <row r="428" ht="15.75" customHeight="1">
      <c r="B428" s="135"/>
      <c r="D428" s="135"/>
      <c r="I428" s="135"/>
      <c r="J428" s="135"/>
      <c r="K428" s="135"/>
      <c r="L428" s="135"/>
      <c r="M428" s="135"/>
    </row>
    <row r="429" ht="15.75" customHeight="1">
      <c r="B429" s="135"/>
      <c r="D429" s="135"/>
      <c r="I429" s="135"/>
      <c r="J429" s="135"/>
      <c r="K429" s="135"/>
      <c r="L429" s="135"/>
      <c r="M429" s="135"/>
    </row>
    <row r="430" ht="15.75" customHeight="1">
      <c r="B430" s="135"/>
      <c r="D430" s="135"/>
      <c r="I430" s="135"/>
      <c r="J430" s="135"/>
      <c r="K430" s="135"/>
      <c r="L430" s="135"/>
      <c r="M430" s="135"/>
    </row>
    <row r="431" ht="15.75" customHeight="1">
      <c r="B431" s="135"/>
      <c r="D431" s="135"/>
      <c r="I431" s="135"/>
      <c r="J431" s="135"/>
      <c r="K431" s="135"/>
      <c r="L431" s="135"/>
      <c r="M431" s="135"/>
    </row>
    <row r="432" ht="15.75" customHeight="1">
      <c r="B432" s="135"/>
      <c r="D432" s="135"/>
      <c r="I432" s="135"/>
      <c r="J432" s="135"/>
      <c r="K432" s="135"/>
      <c r="L432" s="135"/>
      <c r="M432" s="135"/>
    </row>
    <row r="433" ht="15.75" customHeight="1">
      <c r="B433" s="135"/>
      <c r="D433" s="135"/>
      <c r="I433" s="135"/>
      <c r="J433" s="135"/>
      <c r="K433" s="135"/>
      <c r="L433" s="135"/>
      <c r="M433" s="135"/>
    </row>
    <row r="434" ht="15.75" customHeight="1">
      <c r="B434" s="135"/>
      <c r="D434" s="135"/>
      <c r="I434" s="135"/>
      <c r="J434" s="135"/>
      <c r="K434" s="135"/>
      <c r="L434" s="135"/>
      <c r="M434" s="135"/>
    </row>
    <row r="435" ht="15.75" customHeight="1">
      <c r="B435" s="135"/>
      <c r="D435" s="135"/>
      <c r="I435" s="135"/>
      <c r="J435" s="135"/>
      <c r="K435" s="135"/>
      <c r="L435" s="135"/>
      <c r="M435" s="135"/>
    </row>
    <row r="436" ht="15.75" customHeight="1">
      <c r="B436" s="135"/>
      <c r="D436" s="135"/>
      <c r="I436" s="135"/>
      <c r="J436" s="135"/>
      <c r="K436" s="135"/>
      <c r="L436" s="135"/>
      <c r="M436" s="135"/>
    </row>
    <row r="437" ht="15.75" customHeight="1">
      <c r="B437" s="135"/>
      <c r="D437" s="135"/>
      <c r="I437" s="135"/>
      <c r="J437" s="135"/>
      <c r="K437" s="135"/>
      <c r="L437" s="135"/>
      <c r="M437" s="135"/>
    </row>
    <row r="438" ht="15.75" customHeight="1">
      <c r="B438" s="135"/>
      <c r="D438" s="135"/>
      <c r="I438" s="135"/>
      <c r="J438" s="135"/>
      <c r="K438" s="135"/>
      <c r="L438" s="135"/>
      <c r="M438" s="135"/>
    </row>
    <row r="439" ht="15.75" customHeight="1">
      <c r="B439" s="135"/>
      <c r="D439" s="135"/>
      <c r="I439" s="135"/>
      <c r="J439" s="135"/>
      <c r="K439" s="135"/>
      <c r="L439" s="135"/>
      <c r="M439" s="135"/>
    </row>
    <row r="440" ht="15.75" customHeight="1">
      <c r="B440" s="135"/>
      <c r="D440" s="135"/>
      <c r="I440" s="135"/>
      <c r="J440" s="135"/>
      <c r="K440" s="135"/>
      <c r="L440" s="135"/>
      <c r="M440" s="135"/>
    </row>
    <row r="441" ht="15.75" customHeight="1">
      <c r="B441" s="135"/>
      <c r="D441" s="135"/>
      <c r="I441" s="135"/>
      <c r="J441" s="135"/>
      <c r="K441" s="135"/>
      <c r="L441" s="135"/>
      <c r="M441" s="135"/>
    </row>
    <row r="442" ht="15.75" customHeight="1">
      <c r="B442" s="135"/>
      <c r="D442" s="135"/>
      <c r="I442" s="135"/>
      <c r="J442" s="135"/>
      <c r="K442" s="135"/>
      <c r="L442" s="135"/>
      <c r="M442" s="135"/>
    </row>
    <row r="443" ht="15.75" customHeight="1">
      <c r="B443" s="135"/>
      <c r="D443" s="135"/>
      <c r="I443" s="135"/>
      <c r="J443" s="135"/>
      <c r="K443" s="135"/>
      <c r="L443" s="135"/>
      <c r="M443" s="135"/>
    </row>
    <row r="444" ht="15.75" customHeight="1">
      <c r="B444" s="135"/>
      <c r="D444" s="135"/>
      <c r="I444" s="135"/>
      <c r="J444" s="135"/>
      <c r="K444" s="135"/>
      <c r="L444" s="135"/>
      <c r="M444" s="135"/>
    </row>
    <row r="445" ht="15.75" customHeight="1">
      <c r="B445" s="135"/>
      <c r="D445" s="135"/>
      <c r="I445" s="135"/>
      <c r="J445" s="135"/>
      <c r="K445" s="135"/>
      <c r="L445" s="135"/>
      <c r="M445" s="135"/>
    </row>
    <row r="446" ht="15.75" customHeight="1">
      <c r="B446" s="135"/>
      <c r="D446" s="135"/>
      <c r="I446" s="135"/>
      <c r="J446" s="135"/>
      <c r="K446" s="135"/>
      <c r="L446" s="135"/>
      <c r="M446" s="135"/>
    </row>
    <row r="447" ht="15.75" customHeight="1">
      <c r="B447" s="135"/>
      <c r="D447" s="135"/>
      <c r="I447" s="135"/>
      <c r="J447" s="135"/>
      <c r="K447" s="135"/>
      <c r="L447" s="135"/>
      <c r="M447" s="135"/>
    </row>
    <row r="448" ht="15.75" customHeight="1">
      <c r="B448" s="135"/>
      <c r="D448" s="135"/>
      <c r="I448" s="135"/>
      <c r="J448" s="135"/>
      <c r="K448" s="135"/>
      <c r="L448" s="135"/>
      <c r="M448" s="135"/>
    </row>
    <row r="449" ht="15.75" customHeight="1">
      <c r="B449" s="135"/>
      <c r="D449" s="135"/>
      <c r="I449" s="135"/>
      <c r="J449" s="135"/>
      <c r="K449" s="135"/>
      <c r="L449" s="135"/>
      <c r="M449" s="135"/>
    </row>
    <row r="450" ht="15.75" customHeight="1">
      <c r="B450" s="135"/>
      <c r="D450" s="135"/>
      <c r="I450" s="135"/>
      <c r="J450" s="135"/>
      <c r="K450" s="135"/>
      <c r="L450" s="135"/>
      <c r="M450" s="135"/>
    </row>
    <row r="451" ht="15.75" customHeight="1">
      <c r="B451" s="135"/>
      <c r="D451" s="135"/>
      <c r="I451" s="135"/>
      <c r="J451" s="135"/>
      <c r="K451" s="135"/>
      <c r="L451" s="135"/>
      <c r="M451" s="135"/>
    </row>
    <row r="452" ht="15.75" customHeight="1">
      <c r="B452" s="135"/>
      <c r="D452" s="135"/>
      <c r="I452" s="135"/>
      <c r="J452" s="135"/>
      <c r="K452" s="135"/>
      <c r="L452" s="135"/>
      <c r="M452" s="135"/>
    </row>
    <row r="453" ht="15.75" customHeight="1">
      <c r="B453" s="135"/>
      <c r="D453" s="135"/>
      <c r="I453" s="135"/>
      <c r="J453" s="135"/>
      <c r="K453" s="135"/>
      <c r="L453" s="135"/>
      <c r="M453" s="135"/>
    </row>
    <row r="454" ht="15.75" customHeight="1">
      <c r="B454" s="135"/>
      <c r="D454" s="135"/>
      <c r="I454" s="135"/>
      <c r="J454" s="135"/>
      <c r="K454" s="135"/>
      <c r="L454" s="135"/>
      <c r="M454" s="135"/>
    </row>
    <row r="455" ht="15.75" customHeight="1">
      <c r="B455" s="135"/>
      <c r="D455" s="135"/>
      <c r="I455" s="135"/>
      <c r="J455" s="135"/>
      <c r="K455" s="135"/>
      <c r="L455" s="135"/>
      <c r="M455" s="135"/>
    </row>
    <row r="456" ht="15.75" customHeight="1">
      <c r="B456" s="135"/>
      <c r="D456" s="135"/>
      <c r="I456" s="135"/>
      <c r="J456" s="135"/>
      <c r="K456" s="135"/>
      <c r="L456" s="135"/>
      <c r="M456" s="135"/>
    </row>
    <row r="457" ht="15.75" customHeight="1">
      <c r="B457" s="135"/>
      <c r="D457" s="135"/>
      <c r="I457" s="135"/>
      <c r="J457" s="135"/>
      <c r="K457" s="135"/>
      <c r="L457" s="135"/>
      <c r="M457" s="135"/>
    </row>
    <row r="458" ht="15.75" customHeight="1">
      <c r="B458" s="135"/>
      <c r="D458" s="135"/>
      <c r="I458" s="135"/>
      <c r="J458" s="135"/>
      <c r="K458" s="135"/>
      <c r="L458" s="135"/>
      <c r="M458" s="135"/>
    </row>
    <row r="459" ht="15.75" customHeight="1">
      <c r="B459" s="135"/>
      <c r="D459" s="135"/>
      <c r="I459" s="135"/>
      <c r="J459" s="135"/>
      <c r="K459" s="135"/>
      <c r="L459" s="135"/>
      <c r="M459" s="135"/>
    </row>
    <row r="460" ht="15.75" customHeight="1">
      <c r="B460" s="135"/>
      <c r="D460" s="135"/>
      <c r="I460" s="135"/>
      <c r="J460" s="135"/>
      <c r="K460" s="135"/>
      <c r="L460" s="135"/>
      <c r="M460" s="135"/>
    </row>
    <row r="461" ht="15.75" customHeight="1">
      <c r="B461" s="135"/>
      <c r="D461" s="135"/>
      <c r="I461" s="135"/>
      <c r="J461" s="135"/>
      <c r="K461" s="135"/>
      <c r="L461" s="135"/>
      <c r="M461" s="135"/>
    </row>
    <row r="462" ht="15.75" customHeight="1">
      <c r="B462" s="135"/>
      <c r="D462" s="135"/>
      <c r="I462" s="135"/>
      <c r="J462" s="135"/>
      <c r="K462" s="135"/>
      <c r="L462" s="135"/>
      <c r="M462" s="135"/>
    </row>
    <row r="463" ht="15.75" customHeight="1">
      <c r="B463" s="135"/>
      <c r="D463" s="135"/>
      <c r="I463" s="135"/>
      <c r="J463" s="135"/>
      <c r="K463" s="135"/>
      <c r="L463" s="135"/>
      <c r="M463" s="135"/>
    </row>
    <row r="464" ht="15.75" customHeight="1">
      <c r="B464" s="135"/>
      <c r="D464" s="135"/>
      <c r="I464" s="135"/>
      <c r="J464" s="135"/>
      <c r="K464" s="135"/>
      <c r="L464" s="135"/>
      <c r="M464" s="135"/>
    </row>
    <row r="465" ht="15.75" customHeight="1">
      <c r="B465" s="135"/>
      <c r="D465" s="135"/>
      <c r="I465" s="135"/>
      <c r="J465" s="135"/>
      <c r="K465" s="135"/>
      <c r="L465" s="135"/>
      <c r="M465" s="135"/>
    </row>
    <row r="466" ht="15.75" customHeight="1">
      <c r="B466" s="135"/>
      <c r="D466" s="135"/>
      <c r="I466" s="135"/>
      <c r="J466" s="135"/>
      <c r="K466" s="135"/>
      <c r="L466" s="135"/>
      <c r="M466" s="135"/>
    </row>
    <row r="467" ht="15.75" customHeight="1">
      <c r="B467" s="135"/>
      <c r="D467" s="135"/>
      <c r="I467" s="135"/>
      <c r="J467" s="135"/>
      <c r="K467" s="135"/>
      <c r="L467" s="135"/>
      <c r="M467" s="135"/>
    </row>
    <row r="468" ht="15.75" customHeight="1">
      <c r="B468" s="135"/>
      <c r="D468" s="135"/>
      <c r="I468" s="135"/>
      <c r="J468" s="135"/>
      <c r="K468" s="135"/>
      <c r="L468" s="135"/>
      <c r="M468" s="135"/>
    </row>
    <row r="469" ht="15.75" customHeight="1">
      <c r="B469" s="135"/>
      <c r="D469" s="135"/>
      <c r="I469" s="135"/>
      <c r="J469" s="135"/>
      <c r="K469" s="135"/>
      <c r="L469" s="135"/>
      <c r="M469" s="135"/>
    </row>
    <row r="470" ht="15.75" customHeight="1">
      <c r="B470" s="135"/>
      <c r="D470" s="135"/>
      <c r="I470" s="135"/>
      <c r="J470" s="135"/>
      <c r="K470" s="135"/>
      <c r="L470" s="135"/>
      <c r="M470" s="135"/>
    </row>
    <row r="471" ht="15.75" customHeight="1">
      <c r="B471" s="135"/>
      <c r="D471" s="135"/>
      <c r="I471" s="135"/>
      <c r="J471" s="135"/>
      <c r="K471" s="135"/>
      <c r="L471" s="135"/>
      <c r="M471" s="135"/>
    </row>
    <row r="472" ht="15.75" customHeight="1">
      <c r="B472" s="135"/>
      <c r="D472" s="135"/>
      <c r="I472" s="135"/>
      <c r="J472" s="135"/>
      <c r="K472" s="135"/>
      <c r="L472" s="135"/>
      <c r="M472" s="135"/>
    </row>
    <row r="473" ht="15.75" customHeight="1">
      <c r="B473" s="135"/>
      <c r="D473" s="135"/>
      <c r="I473" s="135"/>
      <c r="J473" s="135"/>
      <c r="K473" s="135"/>
      <c r="L473" s="135"/>
      <c r="M473" s="135"/>
    </row>
    <row r="474" ht="15.75" customHeight="1">
      <c r="B474" s="135"/>
      <c r="D474" s="135"/>
      <c r="I474" s="135"/>
      <c r="J474" s="135"/>
      <c r="K474" s="135"/>
      <c r="L474" s="135"/>
      <c r="M474" s="135"/>
    </row>
    <row r="475" ht="15.75" customHeight="1">
      <c r="B475" s="135"/>
      <c r="D475" s="135"/>
      <c r="I475" s="135"/>
      <c r="J475" s="135"/>
      <c r="K475" s="135"/>
      <c r="L475" s="135"/>
      <c r="M475" s="135"/>
    </row>
    <row r="476" ht="15.75" customHeight="1">
      <c r="B476" s="135"/>
      <c r="D476" s="135"/>
      <c r="I476" s="135"/>
      <c r="J476" s="135"/>
      <c r="K476" s="135"/>
      <c r="L476" s="135"/>
      <c r="M476" s="135"/>
    </row>
    <row r="477" ht="15.75" customHeight="1">
      <c r="B477" s="135"/>
      <c r="D477" s="135"/>
      <c r="I477" s="135"/>
      <c r="J477" s="135"/>
      <c r="K477" s="135"/>
      <c r="L477" s="135"/>
      <c r="M477" s="135"/>
    </row>
    <row r="478" ht="15.75" customHeight="1">
      <c r="B478" s="135"/>
      <c r="D478" s="135"/>
      <c r="I478" s="135"/>
      <c r="J478" s="135"/>
      <c r="K478" s="135"/>
      <c r="L478" s="135"/>
      <c r="M478" s="135"/>
    </row>
    <row r="479" ht="15.75" customHeight="1">
      <c r="B479" s="135"/>
      <c r="D479" s="135"/>
      <c r="I479" s="135"/>
      <c r="J479" s="135"/>
      <c r="K479" s="135"/>
      <c r="L479" s="135"/>
      <c r="M479" s="135"/>
    </row>
    <row r="480" ht="15.75" customHeight="1">
      <c r="B480" s="135"/>
      <c r="D480" s="135"/>
      <c r="I480" s="135"/>
      <c r="J480" s="135"/>
      <c r="K480" s="135"/>
      <c r="L480" s="135"/>
      <c r="M480" s="135"/>
    </row>
    <row r="481" ht="15.75" customHeight="1">
      <c r="B481" s="135"/>
      <c r="D481" s="135"/>
      <c r="I481" s="135"/>
      <c r="J481" s="135"/>
      <c r="K481" s="135"/>
      <c r="L481" s="135"/>
      <c r="M481" s="135"/>
    </row>
    <row r="482" ht="15.75" customHeight="1">
      <c r="B482" s="135"/>
      <c r="D482" s="135"/>
      <c r="I482" s="135"/>
      <c r="J482" s="135"/>
      <c r="K482" s="135"/>
      <c r="L482" s="135"/>
      <c r="M482" s="135"/>
    </row>
    <row r="483" ht="15.75" customHeight="1">
      <c r="B483" s="135"/>
      <c r="D483" s="135"/>
      <c r="I483" s="135"/>
      <c r="J483" s="135"/>
      <c r="K483" s="135"/>
      <c r="L483" s="135"/>
      <c r="M483" s="135"/>
    </row>
    <row r="484" ht="15.75" customHeight="1">
      <c r="B484" s="135"/>
      <c r="D484" s="135"/>
      <c r="I484" s="135"/>
      <c r="J484" s="135"/>
      <c r="K484" s="135"/>
      <c r="L484" s="135"/>
      <c r="M484" s="135"/>
    </row>
    <row r="485" ht="15.75" customHeight="1">
      <c r="B485" s="135"/>
      <c r="D485" s="135"/>
      <c r="I485" s="135"/>
      <c r="J485" s="135"/>
      <c r="K485" s="135"/>
      <c r="L485" s="135"/>
      <c r="M485" s="135"/>
    </row>
    <row r="486" ht="15.75" customHeight="1">
      <c r="B486" s="135"/>
      <c r="D486" s="135"/>
      <c r="I486" s="135"/>
      <c r="J486" s="135"/>
      <c r="K486" s="135"/>
      <c r="L486" s="135"/>
      <c r="M486" s="135"/>
    </row>
    <row r="487" ht="15.75" customHeight="1">
      <c r="B487" s="135"/>
      <c r="D487" s="135"/>
      <c r="I487" s="135"/>
      <c r="J487" s="135"/>
      <c r="K487" s="135"/>
      <c r="L487" s="135"/>
      <c r="M487" s="135"/>
    </row>
    <row r="488" ht="15.75" customHeight="1">
      <c r="B488" s="135"/>
      <c r="D488" s="135"/>
      <c r="I488" s="135"/>
      <c r="J488" s="135"/>
      <c r="K488" s="135"/>
      <c r="L488" s="135"/>
      <c r="M488" s="135"/>
    </row>
    <row r="489" ht="15.75" customHeight="1">
      <c r="B489" s="135"/>
      <c r="D489" s="135"/>
      <c r="I489" s="135"/>
      <c r="J489" s="135"/>
      <c r="K489" s="135"/>
      <c r="L489" s="135"/>
      <c r="M489" s="135"/>
    </row>
    <row r="490" ht="15.75" customHeight="1">
      <c r="B490" s="135"/>
      <c r="D490" s="135"/>
      <c r="I490" s="135"/>
      <c r="J490" s="135"/>
      <c r="K490" s="135"/>
      <c r="L490" s="135"/>
      <c r="M490" s="135"/>
    </row>
    <row r="491" ht="15.75" customHeight="1">
      <c r="B491" s="135"/>
      <c r="D491" s="135"/>
      <c r="I491" s="135"/>
      <c r="J491" s="135"/>
      <c r="K491" s="135"/>
      <c r="L491" s="135"/>
      <c r="M491" s="135"/>
    </row>
    <row r="492" ht="15.75" customHeight="1">
      <c r="B492" s="135"/>
      <c r="D492" s="135"/>
      <c r="I492" s="135"/>
      <c r="J492" s="135"/>
      <c r="K492" s="135"/>
      <c r="L492" s="135"/>
      <c r="M492" s="135"/>
    </row>
    <row r="493" ht="15.75" customHeight="1">
      <c r="B493" s="135"/>
      <c r="D493" s="135"/>
      <c r="I493" s="135"/>
      <c r="J493" s="135"/>
      <c r="K493" s="135"/>
      <c r="L493" s="135"/>
      <c r="M493" s="135"/>
    </row>
    <row r="494" ht="15.75" customHeight="1">
      <c r="B494" s="135"/>
      <c r="D494" s="135"/>
      <c r="I494" s="135"/>
      <c r="J494" s="135"/>
      <c r="K494" s="135"/>
      <c r="L494" s="135"/>
      <c r="M494" s="135"/>
    </row>
    <row r="495" ht="15.75" customHeight="1">
      <c r="B495" s="135"/>
      <c r="D495" s="135"/>
      <c r="I495" s="135"/>
      <c r="J495" s="135"/>
      <c r="K495" s="135"/>
      <c r="L495" s="135"/>
      <c r="M495" s="135"/>
    </row>
    <row r="496" ht="15.75" customHeight="1">
      <c r="B496" s="135"/>
      <c r="D496" s="135"/>
      <c r="I496" s="135"/>
      <c r="J496" s="135"/>
      <c r="K496" s="135"/>
      <c r="L496" s="135"/>
      <c r="M496" s="135"/>
    </row>
    <row r="497" ht="15.75" customHeight="1">
      <c r="B497" s="135"/>
      <c r="D497" s="135"/>
      <c r="I497" s="135"/>
      <c r="J497" s="135"/>
      <c r="K497" s="135"/>
      <c r="L497" s="135"/>
      <c r="M497" s="135"/>
    </row>
    <row r="498" ht="15.75" customHeight="1">
      <c r="B498" s="135"/>
      <c r="D498" s="135"/>
      <c r="I498" s="135"/>
      <c r="J498" s="135"/>
      <c r="K498" s="135"/>
      <c r="L498" s="135"/>
      <c r="M498" s="135"/>
    </row>
    <row r="499" ht="15.75" customHeight="1">
      <c r="B499" s="135"/>
      <c r="D499" s="135"/>
      <c r="I499" s="135"/>
      <c r="J499" s="135"/>
      <c r="K499" s="135"/>
      <c r="L499" s="135"/>
      <c r="M499" s="135"/>
    </row>
    <row r="500" ht="15.75" customHeight="1">
      <c r="B500" s="135"/>
      <c r="D500" s="135"/>
      <c r="I500" s="135"/>
      <c r="J500" s="135"/>
      <c r="K500" s="135"/>
      <c r="L500" s="135"/>
      <c r="M500" s="135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N$1"/>
  <dataValidations>
    <dataValidation type="list" allowBlank="1" sqref="J4:J24 J110:J500">
      <formula1>"active,deprecated,unreleased"</formula1>
    </dataValidation>
    <dataValidation type="list" allowBlank="1" sqref="K4:K24 M4:M24 K110:M500">
      <formula1>"Post-Race Rewards,Goal Rewards,City Completion,Achievement,Loot Crate"</formula1>
    </dataValidation>
    <dataValidation type="list" allowBlank="1" sqref="B2:B24 B110:B500">
      <formula1>"engine,accel,grip,nitro,import"</formula1>
    </dataValidation>
    <dataValidation type="list" allowBlank="1" sqref="I110:I500">
      <formula1>"Common,UnCommon,Rare"</formula1>
    </dataValidation>
    <dataValidation type="list" allowBlank="1" sqref="D2:D24 D110:D500">
      <formula1>"Speed,Accel,Grip,NOS,All"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6B8A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0.0"/>
    <col customWidth="1" min="2" max="2" width="18.0"/>
    <col customWidth="1" min="3" max="3" width="30.29"/>
    <col customWidth="1" min="4" max="4" width="17.0"/>
    <col customWidth="1" min="5" max="5" width="22.57"/>
    <col customWidth="1" min="6" max="7" width="24.0"/>
    <col customWidth="1" min="8" max="8" width="25.29"/>
    <col customWidth="1" min="9" max="9" width="16.29"/>
    <col customWidth="1" min="10" max="10" width="14.29"/>
    <col customWidth="1" min="11" max="11" width="19.71"/>
    <col customWidth="1" min="12" max="12" width="28.0"/>
    <col customWidth="1" min="13" max="25" width="8.71"/>
  </cols>
  <sheetData>
    <row r="1" ht="19.5" customHeight="1">
      <c r="A1" s="207" t="s">
        <v>714</v>
      </c>
    </row>
    <row r="2" ht="27.75" customHeight="1">
      <c r="A2" s="208" t="s">
        <v>79</v>
      </c>
      <c r="B2" s="208" t="s">
        <v>80</v>
      </c>
      <c r="C2" s="208" t="s">
        <v>715</v>
      </c>
      <c r="D2" s="208" t="s">
        <v>716</v>
      </c>
      <c r="E2" s="208" t="s">
        <v>717</v>
      </c>
      <c r="F2" s="208" t="s">
        <v>127</v>
      </c>
      <c r="G2" s="208" t="s">
        <v>128</v>
      </c>
      <c r="H2" s="209" t="s">
        <v>718</v>
      </c>
      <c r="I2" s="208" t="s">
        <v>719</v>
      </c>
      <c r="J2" s="208" t="s">
        <v>131</v>
      </c>
      <c r="K2" s="208" t="s">
        <v>132</v>
      </c>
      <c r="L2" s="208" t="s">
        <v>84</v>
      </c>
    </row>
    <row r="3" ht="13.5" customHeight="1">
      <c r="A3" s="112" t="s">
        <v>720</v>
      </c>
    </row>
    <row r="4" ht="15.75" customHeight="1">
      <c r="A4" s="210" t="s">
        <v>85</v>
      </c>
      <c r="B4" s="210" t="s">
        <v>86</v>
      </c>
      <c r="C4" s="211" t="s">
        <v>139</v>
      </c>
      <c r="D4" s="212" t="str">
        <f>IFERROR(VLOOKUP(C4,ITEM_MASTER!$A:$C,2,0),"?")</f>
        <v>ccv</v>
      </c>
      <c r="E4" s="212" t="str">
        <f>IFERROR(VLOOKUP(C4,ITEM_MASTER!$A:$C,3,0),"?")</f>
        <v>part</v>
      </c>
      <c r="F4" s="212" t="str">
        <f>IFERROR(VLOOKUP($C4,ITEM_MASTER!$A:$D,4,0),"?")</f>
        <v>Front Bumper Basic</v>
      </c>
      <c r="G4" s="212" t="str">
        <f>IFERROR(VLOOKUP($C4,ITEM_MASTER!$A:$I,5,0),"?")</f>
        <v>Cản Trước Tiêu Chuẩn</v>
      </c>
      <c r="H4" s="213">
        <v>0.5</v>
      </c>
      <c r="I4" s="212" t="str">
        <f>IFERROR(VLOOKUP($C4,ITEM_MASTER!$A:$N,7,0),"?")</f>
        <v>Common</v>
      </c>
      <c r="J4" s="212" t="str">
        <f>IFERROR(VLOOKUP($C4,ITEM_MASTER!$A:$N,8,0),"?")</f>
        <v>unreleased</v>
      </c>
      <c r="K4" s="212" t="str">
        <f>IFERROR(VLOOKUP($C4,ITEM_MASTER!$A:$N,9,0),"?")</f>
        <v>Car Defaults</v>
      </c>
      <c r="L4" s="210"/>
    </row>
    <row r="5" ht="15.75" customHeight="1">
      <c r="A5" s="210" t="s">
        <v>85</v>
      </c>
      <c r="B5" s="210" t="s">
        <v>86</v>
      </c>
      <c r="C5" s="211" t="s">
        <v>149</v>
      </c>
      <c r="D5" s="212" t="str">
        <f>IFERROR(VLOOKUP(C5,ITEM_MASTER!$A:$C,2,0),"?")</f>
        <v>ccv</v>
      </c>
      <c r="E5" s="212" t="str">
        <f>IFERROR(VLOOKUP(C5,ITEM_MASTER!$A:$C,3,0),"?")</f>
        <v>part</v>
      </c>
      <c r="F5" s="212" t="str">
        <f>IFERROR(VLOOKUP(C5,ITEM_MASTER!$A:$D,4,0),"?")</f>
        <v>Rear Bumper Basic</v>
      </c>
      <c r="G5" s="212" t="str">
        <f>IFERROR(VLOOKUP($C5,ITEM_MASTER!$A:$I,5,0),"?")</f>
        <v>Cản Sau Tiêu Chuẩn</v>
      </c>
      <c r="H5" s="213">
        <v>0.5</v>
      </c>
      <c r="I5" s="212" t="str">
        <f>IFERROR(VLOOKUP($C5,ITEM_MASTER!$A:$N,7,0),"?")</f>
        <v>Common</v>
      </c>
      <c r="J5" s="212" t="str">
        <f>IFERROR(VLOOKUP($C5,ITEM_MASTER!$A:$N,8,0),"?")</f>
        <v>unreleased</v>
      </c>
      <c r="K5" s="212" t="str">
        <f>IFERROR(VLOOKUP($C5,ITEM_MASTER!$A:$N,9,0),"?")</f>
        <v>Car Defaults</v>
      </c>
      <c r="L5" s="210"/>
    </row>
    <row r="6" ht="15.75" customHeight="1">
      <c r="A6" s="210" t="s">
        <v>85</v>
      </c>
      <c r="B6" s="210" t="s">
        <v>86</v>
      </c>
      <c r="C6" s="211" t="s">
        <v>153</v>
      </c>
      <c r="D6" s="212" t="str">
        <f>IFERROR(VLOOKUP(C6,ITEM_MASTER!$A:$C,2,0),"?")</f>
        <v>ccv</v>
      </c>
      <c r="E6" s="212" t="str">
        <f>IFERROR(VLOOKUP(C6,ITEM_MASTER!$A:$C,3,0),"?")</f>
        <v>part</v>
      </c>
      <c r="F6" s="212" t="str">
        <f>IFERROR(VLOOKUP(C6,ITEM_MASTER!$A:$D,4,0),"?")</f>
        <v>Spoiler Basic</v>
      </c>
      <c r="G6" s="212" t="str">
        <f>IFERROR(VLOOKUP($C6,ITEM_MASTER!$A:$I,5,0),"?")</f>
        <v>Cánh Gió Tiêu Chuẩn</v>
      </c>
      <c r="H6" s="213">
        <v>0.5</v>
      </c>
      <c r="I6" s="212" t="str">
        <f>IFERROR(VLOOKUP($C6,ITEM_MASTER!$A:$N,7,0),"?")</f>
        <v>Common</v>
      </c>
      <c r="J6" s="212" t="str">
        <f>IFERROR(VLOOKUP($C6,ITEM_MASTER!$A:$N,8,0),"?")</f>
        <v>unreleased</v>
      </c>
      <c r="K6" s="212" t="str">
        <f>IFERROR(VLOOKUP($C6,ITEM_MASTER!$A:$N,9,0),"?")</f>
        <v>Car Defaults</v>
      </c>
      <c r="L6" s="210"/>
    </row>
    <row r="7" ht="15.75" customHeight="1">
      <c r="A7" s="210" t="s">
        <v>85</v>
      </c>
      <c r="B7" s="210" t="s">
        <v>86</v>
      </c>
      <c r="C7" s="211" t="s">
        <v>157</v>
      </c>
      <c r="D7" s="212" t="str">
        <f>IFERROR(VLOOKUP(C7,ITEM_MASTER!$A:$C,2,0),"?")</f>
        <v>ccv</v>
      </c>
      <c r="E7" s="212" t="str">
        <f>IFERROR(VLOOKUP(C7,ITEM_MASTER!$A:$C,3,0),"?")</f>
        <v>part</v>
      </c>
      <c r="F7" s="212" t="str">
        <f>IFERROR(VLOOKUP(C7,ITEM_MASTER!$A:$D,4,0),"?")</f>
        <v>Roof Panel Basic</v>
      </c>
      <c r="G7" s="212" t="str">
        <f>IFERROR(VLOOKUP($C7,ITEM_MASTER!$A:$I,5,0),"?")</f>
        <v>Nóc Xe Tiêu Chuẩn</v>
      </c>
      <c r="H7" s="213">
        <v>0.5</v>
      </c>
      <c r="I7" s="212" t="str">
        <f>IFERROR(VLOOKUP($C7,ITEM_MASTER!$A:$N,7,0),"?")</f>
        <v>Common</v>
      </c>
      <c r="J7" s="212" t="str">
        <f>IFERROR(VLOOKUP($C7,ITEM_MASTER!$A:$N,8,0),"?")</f>
        <v>unreleased</v>
      </c>
      <c r="K7" s="212" t="str">
        <f>IFERROR(VLOOKUP($C7,ITEM_MASTER!$A:$N,9,0),"?")</f>
        <v>Car Defaults</v>
      </c>
      <c r="L7" s="210"/>
    </row>
    <row r="8" ht="15.75" customHeight="1">
      <c r="A8" s="210" t="s">
        <v>85</v>
      </c>
      <c r="B8" s="210" t="s">
        <v>86</v>
      </c>
      <c r="C8" s="211" t="s">
        <v>161</v>
      </c>
      <c r="D8" s="212" t="str">
        <f>IFERROR(VLOOKUP(C8,ITEM_MASTER!$A:$C,2,0),"?")</f>
        <v>ccv</v>
      </c>
      <c r="E8" s="212" t="str">
        <f>IFERROR(VLOOKUP(C8,ITEM_MASTER!$A:$C,3,0),"?")</f>
        <v>part</v>
      </c>
      <c r="F8" s="212" t="str">
        <f>IFERROR(VLOOKUP(C8,ITEM_MASTER!$A:$D,4,0),"?")</f>
        <v>Wheel Basic</v>
      </c>
      <c r="G8" s="212" t="str">
        <f>IFERROR(VLOOKUP($C8,ITEM_MASTER!$A:$I,5,0),"?")</f>
        <v>Mâm Tiêu Chuẩn</v>
      </c>
      <c r="H8" s="213">
        <v>0.5</v>
      </c>
      <c r="I8" s="212" t="str">
        <f>IFERROR(VLOOKUP($C8,ITEM_MASTER!$A:$N,7,0),"?")</f>
        <v>Common</v>
      </c>
      <c r="J8" s="212" t="str">
        <f>IFERROR(VLOOKUP($C8,ITEM_MASTER!$A:$N,8,0),"?")</f>
        <v>unreleased</v>
      </c>
      <c r="K8" s="212" t="str">
        <f>IFERROR(VLOOKUP($C8,ITEM_MASTER!$A:$N,9,0),"?")</f>
        <v>Car Defaults</v>
      </c>
      <c r="L8" s="210"/>
    </row>
    <row r="9" ht="15.75" customHeight="1">
      <c r="A9" s="210" t="s">
        <v>85</v>
      </c>
      <c r="B9" s="210" t="s">
        <v>86</v>
      </c>
      <c r="C9" s="211" t="s">
        <v>165</v>
      </c>
      <c r="D9" s="212" t="str">
        <f>IFERROR(VLOOKUP(C9,ITEM_MASTER!$A:$C,2,0),"?")</f>
        <v>ccv</v>
      </c>
      <c r="E9" s="212" t="str">
        <f>IFERROR(VLOOKUP(C9,ITEM_MASTER!$A:$C,3,0),"?")</f>
        <v>part</v>
      </c>
      <c r="F9" s="212" t="str">
        <f>IFERROR(VLOOKUP(C9,ITEM_MASTER!$A:$D,4,0),"?")</f>
        <v>Side Skirt Basic</v>
      </c>
      <c r="G9" s="212" t="str">
        <f>IFERROR(VLOOKUP($C9,ITEM_MASTER!$A:$I,5,0),"?")</f>
        <v>Ốp Sườn Tiêu Chuẩn</v>
      </c>
      <c r="H9" s="213">
        <v>0.5</v>
      </c>
      <c r="I9" s="212" t="str">
        <f>IFERROR(VLOOKUP($C9,ITEM_MASTER!$A:$N,7,0),"?")</f>
        <v>Common</v>
      </c>
      <c r="J9" s="212" t="str">
        <f>IFERROR(VLOOKUP($C9,ITEM_MASTER!$A:$N,8,0),"?")</f>
        <v>unreleased</v>
      </c>
      <c r="K9" s="212" t="str">
        <f>IFERROR(VLOOKUP($C9,ITEM_MASTER!$A:$N,9,0),"?")</f>
        <v>Car Defaults</v>
      </c>
      <c r="L9" s="210"/>
    </row>
    <row r="10" ht="15.75" customHeight="1">
      <c r="A10" s="210" t="s">
        <v>85</v>
      </c>
      <c r="B10" s="210" t="s">
        <v>86</v>
      </c>
      <c r="C10" s="211" t="s">
        <v>169</v>
      </c>
      <c r="D10" s="212" t="str">
        <f>IFERROR(VLOOKUP(C10,ITEM_MASTER!$A:$C,2,0),"?")</f>
        <v>ccv</v>
      </c>
      <c r="E10" s="212" t="str">
        <f>IFERROR(VLOOKUP(C10,ITEM_MASTER!$A:$C,3,0),"?")</f>
        <v>part</v>
      </c>
      <c r="F10" s="212" t="str">
        <f>IFERROR(VLOOKUP(C10,ITEM_MASTER!$A:$D,4,0),"?")</f>
        <v>Front Bumper Sport</v>
      </c>
      <c r="G10" s="212" t="str">
        <f>IFERROR(VLOOKUP($C10,ITEM_MASTER!$A:$I,5,0),"?")</f>
        <v>Cản Trước Thể Thao</v>
      </c>
      <c r="H10" s="213">
        <v>1.0</v>
      </c>
      <c r="I10" s="212" t="str">
        <f>IFERROR(VLOOKUP($C10,ITEM_MASTER!$A:$N,7,0),"?")</f>
        <v>UnCommon</v>
      </c>
      <c r="J10" s="212" t="str">
        <f>IFERROR(VLOOKUP($C10,ITEM_MASTER!$A:$N,8,0),"?")</f>
        <v>unreleased</v>
      </c>
      <c r="K10" s="212" t="str">
        <f>IFERROR(VLOOKUP($C10,ITEM_MASTER!$A:$N,9,0),"?")</f>
        <v>Post-Race Rewards</v>
      </c>
      <c r="L10" s="210"/>
    </row>
    <row r="11" ht="15.75" customHeight="1">
      <c r="A11" s="210" t="s">
        <v>85</v>
      </c>
      <c r="B11" s="210" t="s">
        <v>86</v>
      </c>
      <c r="C11" s="211" t="s">
        <v>175</v>
      </c>
      <c r="D11" s="212" t="str">
        <f>IFERROR(VLOOKUP(C11,ITEM_MASTER!$A:$C,2,0),"?")</f>
        <v>ccv</v>
      </c>
      <c r="E11" s="212" t="str">
        <f>IFERROR(VLOOKUP(C11,ITEM_MASTER!$A:$C,3,0),"?")</f>
        <v>part</v>
      </c>
      <c r="F11" s="212" t="str">
        <f>IFERROR(VLOOKUP(C11,ITEM_MASTER!$A:$D,4,0),"?")</f>
        <v>Rear Bumper Sport</v>
      </c>
      <c r="G11" s="212" t="str">
        <f>IFERROR(VLOOKUP($C11,ITEM_MASTER!$A:$I,5,0),"?")</f>
        <v>Cản Sau Thể Thao</v>
      </c>
      <c r="H11" s="213">
        <v>1.0</v>
      </c>
      <c r="I11" s="212" t="str">
        <f>IFERROR(VLOOKUP($C11,ITEM_MASTER!$A:$N,7,0),"?")</f>
        <v>UnCommon</v>
      </c>
      <c r="J11" s="212" t="str">
        <f>IFERROR(VLOOKUP($C11,ITEM_MASTER!$A:$N,8,0),"?")</f>
        <v>unreleased</v>
      </c>
      <c r="K11" s="212" t="str">
        <f>IFERROR(VLOOKUP($C11,ITEM_MASTER!$A:$N,9,0),"?")</f>
        <v>Post-Race Rewards</v>
      </c>
      <c r="L11" s="210"/>
    </row>
    <row r="12" ht="15.75" customHeight="1">
      <c r="A12" s="210" t="s">
        <v>85</v>
      </c>
      <c r="B12" s="210" t="s">
        <v>86</v>
      </c>
      <c r="C12" s="211" t="s">
        <v>179</v>
      </c>
      <c r="D12" s="212" t="str">
        <f>IFERROR(VLOOKUP(C12,ITEM_MASTER!$A:$C,2,0),"?")</f>
        <v>ccv</v>
      </c>
      <c r="E12" s="212" t="str">
        <f>IFERROR(VLOOKUP(C12,ITEM_MASTER!$A:$C,3,0),"?")</f>
        <v>part</v>
      </c>
      <c r="F12" s="212" t="str">
        <f>IFERROR(VLOOKUP(C12,ITEM_MASTER!$A:$D,4,0),"?")</f>
        <v>Spoiler Sport</v>
      </c>
      <c r="G12" s="212" t="str">
        <f>IFERROR(VLOOKUP($C12,ITEM_MASTER!$A:$I,5,0),"?")</f>
        <v>Cánh Gió Thể Thao</v>
      </c>
      <c r="H12" s="213">
        <v>1.0</v>
      </c>
      <c r="I12" s="212" t="str">
        <f>IFERROR(VLOOKUP($C12,ITEM_MASTER!$A:$N,7,0),"?")</f>
        <v>UnCommon</v>
      </c>
      <c r="J12" s="212" t="str">
        <f>IFERROR(VLOOKUP($C12,ITEM_MASTER!$A:$N,8,0),"?")</f>
        <v>unreleased</v>
      </c>
      <c r="K12" s="212" t="str">
        <f>IFERROR(VLOOKUP($C12,ITEM_MASTER!$A:$N,9,0),"?")</f>
        <v>Post-Race Rewards</v>
      </c>
      <c r="L12" s="210"/>
    </row>
    <row r="13" ht="15.75" customHeight="1">
      <c r="A13" s="210" t="s">
        <v>85</v>
      </c>
      <c r="B13" s="210" t="s">
        <v>86</v>
      </c>
      <c r="C13" s="211" t="s">
        <v>183</v>
      </c>
      <c r="D13" s="212" t="str">
        <f>IFERROR(VLOOKUP(C13,ITEM_MASTER!$A:$C,2,0),"?")</f>
        <v>ccv</v>
      </c>
      <c r="E13" s="212" t="str">
        <f>IFERROR(VLOOKUP(C13,ITEM_MASTER!$A:$C,3,0),"?")</f>
        <v>part</v>
      </c>
      <c r="F13" s="212" t="str">
        <f>IFERROR(VLOOKUP(C13,ITEM_MASTER!$A:$D,4,0),"?")</f>
        <v>Roof Panel Sport</v>
      </c>
      <c r="G13" s="212" t="str">
        <f>IFERROR(VLOOKUP($C13,ITEM_MASTER!$A:$I,5,0),"?")</f>
        <v>Nóc Xe Thể Thao</v>
      </c>
      <c r="H13" s="213">
        <v>1.0</v>
      </c>
      <c r="I13" s="212" t="str">
        <f>IFERROR(VLOOKUP($C13,ITEM_MASTER!$A:$N,7,0),"?")</f>
        <v>UnCommon</v>
      </c>
      <c r="J13" s="212" t="str">
        <f>IFERROR(VLOOKUP($C13,ITEM_MASTER!$A:$N,8,0),"?")</f>
        <v>unreleased</v>
      </c>
      <c r="K13" s="212" t="str">
        <f>IFERROR(VLOOKUP($C13,ITEM_MASTER!$A:$N,9,0),"?")</f>
        <v>Post-Race Rewards</v>
      </c>
      <c r="L13" s="210"/>
    </row>
    <row r="14" ht="15.75" customHeight="1">
      <c r="A14" s="210" t="s">
        <v>85</v>
      </c>
      <c r="B14" s="210" t="s">
        <v>86</v>
      </c>
      <c r="C14" s="211" t="s">
        <v>187</v>
      </c>
      <c r="D14" s="212" t="str">
        <f>IFERROR(VLOOKUP(C14,ITEM_MASTER!$A:$C,2,0),"?")</f>
        <v>ccv</v>
      </c>
      <c r="E14" s="212" t="str">
        <f>IFERROR(VLOOKUP(C14,ITEM_MASTER!$A:$C,3,0),"?")</f>
        <v>part</v>
      </c>
      <c r="F14" s="212" t="str">
        <f>IFERROR(VLOOKUP(C14,ITEM_MASTER!$A:$D,4,0),"?")</f>
        <v>Wheel Sport</v>
      </c>
      <c r="G14" s="212" t="str">
        <f>IFERROR(VLOOKUP($C14,ITEM_MASTER!$A:$I,5,0),"?")</f>
        <v>Mâm Thể Thao</v>
      </c>
      <c r="H14" s="213">
        <v>1.0</v>
      </c>
      <c r="I14" s="212" t="str">
        <f>IFERROR(VLOOKUP($C14,ITEM_MASTER!$A:$N,7,0),"?")</f>
        <v>UnCommon</v>
      </c>
      <c r="J14" s="212" t="str">
        <f>IFERROR(VLOOKUP($C14,ITEM_MASTER!$A:$N,8,0),"?")</f>
        <v>unreleased</v>
      </c>
      <c r="K14" s="212" t="str">
        <f>IFERROR(VLOOKUP($C14,ITEM_MASTER!$A:$N,9,0),"?")</f>
        <v>Post-Race Rewards</v>
      </c>
      <c r="L14" s="210"/>
    </row>
    <row r="15" ht="15.75" customHeight="1">
      <c r="A15" s="210" t="s">
        <v>85</v>
      </c>
      <c r="B15" s="210" t="s">
        <v>86</v>
      </c>
      <c r="C15" s="211" t="s">
        <v>191</v>
      </c>
      <c r="D15" s="212" t="str">
        <f>IFERROR(VLOOKUP(C15,ITEM_MASTER!$A:$C,2,0),"?")</f>
        <v>ccv</v>
      </c>
      <c r="E15" s="212" t="str">
        <f>IFERROR(VLOOKUP(C15,ITEM_MASTER!$A:$C,3,0),"?")</f>
        <v>part</v>
      </c>
      <c r="F15" s="212" t="str">
        <f>IFERROR(VLOOKUP(C15,ITEM_MASTER!$A:$D,4,0),"?")</f>
        <v>Side Skirt Sport</v>
      </c>
      <c r="G15" s="212" t="str">
        <f>IFERROR(VLOOKUP($C15,ITEM_MASTER!$A:$I,5,0),"?")</f>
        <v>Ốp Sườn Thể Thao</v>
      </c>
      <c r="H15" s="213">
        <v>1.0</v>
      </c>
      <c r="I15" s="212" t="str">
        <f>IFERROR(VLOOKUP($C15,ITEM_MASTER!$A:$N,7,0),"?")</f>
        <v>UnCommon</v>
      </c>
      <c r="J15" s="212" t="str">
        <f>IFERROR(VLOOKUP($C15,ITEM_MASTER!$A:$N,8,0),"?")</f>
        <v>unreleased</v>
      </c>
      <c r="K15" s="212" t="str">
        <f>IFERROR(VLOOKUP($C15,ITEM_MASTER!$A:$N,9,0),"?")</f>
        <v>Post-Race Rewards</v>
      </c>
      <c r="L15" s="210"/>
    </row>
    <row r="16" ht="15.75" customHeight="1">
      <c r="A16" s="210" t="s">
        <v>85</v>
      </c>
      <c r="B16" s="210" t="s">
        <v>86</v>
      </c>
      <c r="C16" s="211" t="s">
        <v>195</v>
      </c>
      <c r="D16" s="212" t="str">
        <f>IFERROR(VLOOKUP(C16,ITEM_MASTER!$A:$C,2,0),"?")</f>
        <v>ccv</v>
      </c>
      <c r="E16" s="212" t="str">
        <f>IFERROR(VLOOKUP(C16,ITEM_MASTER!$A:$C,3,0),"?")</f>
        <v>part</v>
      </c>
      <c r="F16" s="212" t="str">
        <f>IFERROR(VLOOKUP(C16,ITEM_MASTER!$A:$D,4,0),"?")</f>
        <v>Front Bumper Luxury</v>
      </c>
      <c r="G16" s="212" t="str">
        <f>IFERROR(VLOOKUP($C16,ITEM_MASTER!$A:$I,5,0),"?")</f>
        <v>Cản Trước Cao Cấp</v>
      </c>
      <c r="H16" s="213">
        <v>1.0</v>
      </c>
      <c r="I16" s="212" t="str">
        <f>IFERROR(VLOOKUP($C16,ITEM_MASTER!$A:$N,7,0),"?")</f>
        <v>Rare</v>
      </c>
      <c r="J16" s="212" t="str">
        <f>IFERROR(VLOOKUP($C16,ITEM_MASTER!$A:$N,8,0),"?")</f>
        <v>unreleased</v>
      </c>
      <c r="K16" s="212" t="str">
        <f>IFERROR(VLOOKUP($C16,ITEM_MASTER!$A:$N,9,0),"?")</f>
        <v>Post-Race Rewards</v>
      </c>
      <c r="L16" s="210"/>
    </row>
    <row r="17" ht="15.75" customHeight="1">
      <c r="A17" s="210" t="s">
        <v>85</v>
      </c>
      <c r="B17" s="210" t="s">
        <v>86</v>
      </c>
      <c r="C17" s="211" t="s">
        <v>200</v>
      </c>
      <c r="D17" s="212" t="str">
        <f>IFERROR(VLOOKUP(C17,ITEM_MASTER!$A:$C,2,0),"?")</f>
        <v>ccv</v>
      </c>
      <c r="E17" s="212" t="str">
        <f>IFERROR(VLOOKUP(C17,ITEM_MASTER!$A:$C,3,0),"?")</f>
        <v>part</v>
      </c>
      <c r="F17" s="212" t="str">
        <f>IFERROR(VLOOKUP(C17,ITEM_MASTER!$A:$D,4,0),"?")</f>
        <v>Rear Bumper Luxury</v>
      </c>
      <c r="G17" s="212" t="str">
        <f>IFERROR(VLOOKUP($C17,ITEM_MASTER!$A:$I,5,0),"?")</f>
        <v>Cản Sau Cao Cấp</v>
      </c>
      <c r="H17" s="213">
        <v>1.0</v>
      </c>
      <c r="I17" s="212" t="str">
        <f>IFERROR(VLOOKUP($C17,ITEM_MASTER!$A:$N,7,0),"?")</f>
        <v>Rare</v>
      </c>
      <c r="J17" s="212" t="str">
        <f>IFERROR(VLOOKUP($C17,ITEM_MASTER!$A:$N,8,0),"?")</f>
        <v>unreleased</v>
      </c>
      <c r="K17" s="212" t="str">
        <f>IFERROR(VLOOKUP($C17,ITEM_MASTER!$A:$N,9,0),"?")</f>
        <v>Post-Race Rewards</v>
      </c>
      <c r="L17" s="210"/>
    </row>
    <row r="18" ht="15.75" customHeight="1">
      <c r="A18" s="210" t="s">
        <v>85</v>
      </c>
      <c r="B18" s="210" t="s">
        <v>86</v>
      </c>
      <c r="C18" s="211" t="s">
        <v>204</v>
      </c>
      <c r="D18" s="212" t="str">
        <f>IFERROR(VLOOKUP(C18,ITEM_MASTER!$A:$C,2,0),"?")</f>
        <v>ccv</v>
      </c>
      <c r="E18" s="212" t="str">
        <f>IFERROR(VLOOKUP(C18,ITEM_MASTER!$A:$C,3,0),"?")</f>
        <v>part</v>
      </c>
      <c r="F18" s="212" t="str">
        <f>IFERROR(VLOOKUP(C18,ITEM_MASTER!$A:$D,4,0),"?")</f>
        <v>Spoiler Luxury</v>
      </c>
      <c r="G18" s="212" t="str">
        <f>IFERROR(VLOOKUP($C18,ITEM_MASTER!$A:$I,5,0),"?")</f>
        <v>Cánh Gió Cao Cấp</v>
      </c>
      <c r="H18" s="213">
        <v>1.0</v>
      </c>
      <c r="I18" s="212" t="str">
        <f>IFERROR(VLOOKUP($C18,ITEM_MASTER!$A:$N,7,0),"?")</f>
        <v>Rare</v>
      </c>
      <c r="J18" s="212" t="str">
        <f>IFERROR(VLOOKUP($C18,ITEM_MASTER!$A:$N,8,0),"?")</f>
        <v>unreleased</v>
      </c>
      <c r="K18" s="212" t="str">
        <f>IFERROR(VLOOKUP($C18,ITEM_MASTER!$A:$N,9,0),"?")</f>
        <v>Post-Race Rewards</v>
      </c>
      <c r="L18" s="210"/>
    </row>
    <row r="19" ht="15.75" customHeight="1">
      <c r="A19" s="210" t="s">
        <v>85</v>
      </c>
      <c r="B19" s="210" t="s">
        <v>86</v>
      </c>
      <c r="C19" s="211" t="s">
        <v>208</v>
      </c>
      <c r="D19" s="212" t="str">
        <f>IFERROR(VLOOKUP(C19,ITEM_MASTER!$A:$C,2,0),"?")</f>
        <v>ccv</v>
      </c>
      <c r="E19" s="212" t="str">
        <f>IFERROR(VLOOKUP(C19,ITEM_MASTER!$A:$C,3,0),"?")</f>
        <v>part</v>
      </c>
      <c r="F19" s="212" t="str">
        <f>IFERROR(VLOOKUP(C19,ITEM_MASTER!$A:$D,4,0),"?")</f>
        <v>Roof Panel Luxury</v>
      </c>
      <c r="G19" s="212" t="str">
        <f>IFERROR(VLOOKUP($C19,ITEM_MASTER!$A:$I,5,0),"?")</f>
        <v>Nóc Xe Cao Cấp</v>
      </c>
      <c r="H19" s="213">
        <v>1.0</v>
      </c>
      <c r="I19" s="212" t="str">
        <f>IFERROR(VLOOKUP($C19,ITEM_MASTER!$A:$N,7,0),"?")</f>
        <v>Rare</v>
      </c>
      <c r="J19" s="212" t="str">
        <f>IFERROR(VLOOKUP($C19,ITEM_MASTER!$A:$N,8,0),"?")</f>
        <v>unreleased</v>
      </c>
      <c r="K19" s="212" t="str">
        <f>IFERROR(VLOOKUP($C19,ITEM_MASTER!$A:$N,9,0),"?")</f>
        <v>Post-Race Rewards</v>
      </c>
      <c r="L19" s="210"/>
    </row>
    <row r="20" ht="15.75" customHeight="1">
      <c r="A20" s="210" t="s">
        <v>85</v>
      </c>
      <c r="B20" s="210" t="s">
        <v>86</v>
      </c>
      <c r="C20" s="211" t="s">
        <v>212</v>
      </c>
      <c r="D20" s="212" t="str">
        <f>IFERROR(VLOOKUP(C20,ITEM_MASTER!$A:$C,2,0),"?")</f>
        <v>ccv</v>
      </c>
      <c r="E20" s="212" t="str">
        <f>IFERROR(VLOOKUP(C20,ITEM_MASTER!$A:$C,3,0),"?")</f>
        <v>part</v>
      </c>
      <c r="F20" s="212" t="str">
        <f>IFERROR(VLOOKUP(C20,ITEM_MASTER!$A:$D,4,0),"?")</f>
        <v>Wheel Luxury</v>
      </c>
      <c r="G20" s="212" t="str">
        <f>IFERROR(VLOOKUP($C20,ITEM_MASTER!$A:$I,5,0),"?")</f>
        <v>Mâm Cao Cấp</v>
      </c>
      <c r="H20" s="213">
        <v>1.0</v>
      </c>
      <c r="I20" s="212" t="str">
        <f>IFERROR(VLOOKUP($C20,ITEM_MASTER!$A:$N,7,0),"?")</f>
        <v>Rare</v>
      </c>
      <c r="J20" s="212" t="str">
        <f>IFERROR(VLOOKUP($C20,ITEM_MASTER!$A:$N,8,0),"?")</f>
        <v>unreleased</v>
      </c>
      <c r="K20" s="212" t="str">
        <f>IFERROR(VLOOKUP($C20,ITEM_MASTER!$A:$N,9,0),"?")</f>
        <v>Post-Race Rewards</v>
      </c>
      <c r="L20" s="210"/>
    </row>
    <row r="21">
      <c r="A21" s="210" t="s">
        <v>85</v>
      </c>
      <c r="B21" s="210" t="s">
        <v>86</v>
      </c>
      <c r="C21" s="211" t="s">
        <v>216</v>
      </c>
      <c r="D21" s="212" t="str">
        <f>IFERROR(VLOOKUP(C21,ITEM_MASTER!$A:$C,2,0),"?")</f>
        <v>ccv</v>
      </c>
      <c r="E21" s="212" t="str">
        <f>IFERROR(VLOOKUP(C21,ITEM_MASTER!$A:$C,3,0),"?")</f>
        <v>part</v>
      </c>
      <c r="F21" s="212" t="str">
        <f>IFERROR(VLOOKUP(C21,ITEM_MASTER!$A:$D,4,0),"?")</f>
        <v>Side Skirt Luxury</v>
      </c>
      <c r="G21" s="212" t="str">
        <f>IFERROR(VLOOKUP($C21,ITEM_MASTER!$A:$I,5,0),"?")</f>
        <v>Ốp Sườn Cao Cấp</v>
      </c>
      <c r="H21" s="213">
        <v>1.0</v>
      </c>
      <c r="I21" s="212" t="str">
        <f>IFERROR(VLOOKUP($C21,ITEM_MASTER!$A:$N,7,0),"?")</f>
        <v>Rare</v>
      </c>
      <c r="J21" s="212" t="str">
        <f>IFERROR(VLOOKUP($C21,ITEM_MASTER!$A:$N,8,0),"?")</f>
        <v>unreleased</v>
      </c>
      <c r="K21" s="212" t="str">
        <f>IFERROR(VLOOKUP($C21,ITEM_MASTER!$A:$N,9,0),"?")</f>
        <v>Post-Race Rewards</v>
      </c>
      <c r="L21" s="210"/>
    </row>
    <row r="22">
      <c r="A22" s="210" t="s">
        <v>85</v>
      </c>
      <c r="B22" s="210" t="s">
        <v>86</v>
      </c>
      <c r="C22" s="211" t="s">
        <v>220</v>
      </c>
      <c r="D22" s="212" t="str">
        <f>IFERROR(VLOOKUP(C22,ITEM_MASTER!$A:$C,2,0),"?")</f>
        <v>ccv</v>
      </c>
      <c r="E22" s="212" t="str">
        <f>IFERROR(VLOOKUP(C22,ITEM_MASTER!$A:$C,3,0),"?")</f>
        <v>part</v>
      </c>
      <c r="F22" s="212" t="str">
        <f>IFERROR(VLOOKUP(C22,ITEM_MASTER!$A:$D,4,0),"?")</f>
        <v>Front Bumper Basic</v>
      </c>
      <c r="G22" s="212" t="str">
        <f>IFERROR(VLOOKUP($C22,ITEM_MASTER!$A:$I,5,0),"?")</f>
        <v>Cản Trước Tiêu Chuẩn</v>
      </c>
      <c r="H22" s="213">
        <v>0.5</v>
      </c>
      <c r="I22" s="212" t="str">
        <f>IFERROR(VLOOKUP($C22,ITEM_MASTER!$A:$N,7,0),"?")</f>
        <v>Common</v>
      </c>
      <c r="J22" s="212" t="str">
        <f>IFERROR(VLOOKUP($C22,ITEM_MASTER!$A:$N,8,0),"?")</f>
        <v>unreleased</v>
      </c>
      <c r="K22" s="212" t="str">
        <f>IFERROR(VLOOKUP($C22,ITEM_MASTER!$A:$N,9,0),"?")</f>
        <v>Car Defaults</v>
      </c>
      <c r="L22" s="210"/>
    </row>
    <row r="23">
      <c r="A23" s="210" t="s">
        <v>85</v>
      </c>
      <c r="B23" s="210" t="s">
        <v>86</v>
      </c>
      <c r="C23" s="211" t="s">
        <v>222</v>
      </c>
      <c r="D23" s="212" t="str">
        <f>IFERROR(VLOOKUP(C23,ITEM_MASTER!$A:$C,2,0),"?")</f>
        <v>ccv</v>
      </c>
      <c r="E23" s="212" t="str">
        <f>IFERROR(VLOOKUP(C23,ITEM_MASTER!$A:$C,3,0),"?")</f>
        <v>part</v>
      </c>
      <c r="F23" s="212" t="str">
        <f>IFERROR(VLOOKUP(C23,ITEM_MASTER!$A:$D,4,0),"?")</f>
        <v>Rear Bumper Basic</v>
      </c>
      <c r="G23" s="212" t="str">
        <f>IFERROR(VLOOKUP($C23,ITEM_MASTER!$A:$I,5,0),"?")</f>
        <v>Cản Sau Tiêu Chuẩn</v>
      </c>
      <c r="H23" s="213">
        <v>0.5</v>
      </c>
      <c r="I23" s="212" t="str">
        <f>IFERROR(VLOOKUP($C23,ITEM_MASTER!$A:$N,7,0),"?")</f>
        <v>Common</v>
      </c>
      <c r="J23" s="212" t="str">
        <f>IFERROR(VLOOKUP($C23,ITEM_MASTER!$A:$N,8,0),"?")</f>
        <v>unreleased</v>
      </c>
      <c r="K23" s="212" t="str">
        <f>IFERROR(VLOOKUP($C23,ITEM_MASTER!$A:$N,9,0),"?")</f>
        <v>Car Defaults</v>
      </c>
      <c r="L23" s="210"/>
    </row>
    <row r="24">
      <c r="A24" s="210" t="s">
        <v>85</v>
      </c>
      <c r="B24" s="210" t="s">
        <v>86</v>
      </c>
      <c r="C24" s="211" t="s">
        <v>224</v>
      </c>
      <c r="D24" s="212" t="str">
        <f>IFERROR(VLOOKUP(C24,ITEM_MASTER!$A:$C,2,0),"?")</f>
        <v>ccv</v>
      </c>
      <c r="E24" s="212" t="str">
        <f>IFERROR(VLOOKUP(C24,ITEM_MASTER!$A:$C,3,0),"?")</f>
        <v>part</v>
      </c>
      <c r="F24" s="212" t="str">
        <f>IFERROR(VLOOKUP(C24,ITEM_MASTER!$A:$D,4,0),"?")</f>
        <v>Spoiler Basic</v>
      </c>
      <c r="G24" s="212" t="str">
        <f>IFERROR(VLOOKUP($C24,ITEM_MASTER!$A:$I,5,0),"?")</f>
        <v>Cánh Gió Tiêu Chuẩn</v>
      </c>
      <c r="H24" s="213">
        <v>0.5</v>
      </c>
      <c r="I24" s="212" t="str">
        <f>IFERROR(VLOOKUP($C24,ITEM_MASTER!$A:$N,7,0),"?")</f>
        <v>Common</v>
      </c>
      <c r="J24" s="212" t="str">
        <f>IFERROR(VLOOKUP($C24,ITEM_MASTER!$A:$N,8,0),"?")</f>
        <v>unreleased</v>
      </c>
      <c r="K24" s="212" t="str">
        <f>IFERROR(VLOOKUP($C24,ITEM_MASTER!$A:$N,9,0),"?")</f>
        <v>Car Defaults</v>
      </c>
      <c r="L24" s="210"/>
    </row>
    <row r="25">
      <c r="A25" s="210" t="s">
        <v>85</v>
      </c>
      <c r="B25" s="210" t="s">
        <v>86</v>
      </c>
      <c r="C25" s="211" t="s">
        <v>226</v>
      </c>
      <c r="D25" s="212" t="str">
        <f>IFERROR(VLOOKUP(C25,ITEM_MASTER!$A:$C,2,0),"?")</f>
        <v>ccv</v>
      </c>
      <c r="E25" s="212" t="str">
        <f>IFERROR(VLOOKUP(C25,ITEM_MASTER!$A:$C,3,0),"?")</f>
        <v>part</v>
      </c>
      <c r="F25" s="212" t="str">
        <f>IFERROR(VLOOKUP(C25,ITEM_MASTER!$A:$D,4,0),"?")</f>
        <v>Roof Panel Basic</v>
      </c>
      <c r="G25" s="212" t="str">
        <f>IFERROR(VLOOKUP($C25,ITEM_MASTER!$A:$I,5,0),"?")</f>
        <v>Nóc Xe Tiêu Chuẩn</v>
      </c>
      <c r="H25" s="213">
        <v>0.5</v>
      </c>
      <c r="I25" s="212" t="str">
        <f>IFERROR(VLOOKUP($C25,ITEM_MASTER!$A:$N,7,0),"?")</f>
        <v>Common</v>
      </c>
      <c r="J25" s="212" t="str">
        <f>IFERROR(VLOOKUP($C25,ITEM_MASTER!$A:$N,8,0),"?")</f>
        <v>unreleased</v>
      </c>
      <c r="K25" s="212" t="str">
        <f>IFERROR(VLOOKUP($C25,ITEM_MASTER!$A:$N,9,0),"?")</f>
        <v>Car Defaults</v>
      </c>
      <c r="L25" s="210"/>
    </row>
    <row r="26">
      <c r="A26" s="210" t="s">
        <v>85</v>
      </c>
      <c r="B26" s="210" t="s">
        <v>86</v>
      </c>
      <c r="C26" s="211" t="s">
        <v>228</v>
      </c>
      <c r="D26" s="212" t="str">
        <f>IFERROR(VLOOKUP(C26,ITEM_MASTER!$A:$C,2,0),"?")</f>
        <v>ccv</v>
      </c>
      <c r="E26" s="212" t="str">
        <f>IFERROR(VLOOKUP(C26,ITEM_MASTER!$A:$C,3,0),"?")</f>
        <v>part</v>
      </c>
      <c r="F26" s="212" t="str">
        <f>IFERROR(VLOOKUP(C26,ITEM_MASTER!$A:$D,4,0),"?")</f>
        <v>Wheel Basic</v>
      </c>
      <c r="G26" s="212" t="str">
        <f>IFERROR(VLOOKUP($C26,ITEM_MASTER!$A:$I,5,0),"?")</f>
        <v>Mâm Tiêu Chuẩn</v>
      </c>
      <c r="H26" s="213">
        <v>0.5</v>
      </c>
      <c r="I26" s="212" t="str">
        <f>IFERROR(VLOOKUP($C26,ITEM_MASTER!$A:$N,7,0),"?")</f>
        <v>Common</v>
      </c>
      <c r="J26" s="212" t="str">
        <f>IFERROR(VLOOKUP($C26,ITEM_MASTER!$A:$N,8,0),"?")</f>
        <v>unreleased</v>
      </c>
      <c r="K26" s="212" t="str">
        <f>IFERROR(VLOOKUP($C26,ITEM_MASTER!$A:$N,9,0),"?")</f>
        <v>Car Defaults</v>
      </c>
      <c r="L26" s="210"/>
    </row>
    <row r="27">
      <c r="A27" s="210" t="s">
        <v>85</v>
      </c>
      <c r="B27" s="210" t="s">
        <v>86</v>
      </c>
      <c r="C27" s="211" t="s">
        <v>230</v>
      </c>
      <c r="D27" s="212" t="str">
        <f>IFERROR(VLOOKUP(C27,ITEM_MASTER!$A:$C,2,0),"?")</f>
        <v>ccv</v>
      </c>
      <c r="E27" s="212" t="str">
        <f>IFERROR(VLOOKUP(C27,ITEM_MASTER!$A:$C,3,0),"?")</f>
        <v>part</v>
      </c>
      <c r="F27" s="212" t="str">
        <f>IFERROR(VLOOKUP(C27,ITEM_MASTER!$A:$D,4,0),"?")</f>
        <v>Side Skirt Basic</v>
      </c>
      <c r="G27" s="212" t="str">
        <f>IFERROR(VLOOKUP($C27,ITEM_MASTER!$A:$I,5,0),"?")</f>
        <v>Ốp Sườn Tiêu Chuẩn</v>
      </c>
      <c r="H27" s="213">
        <v>0.5</v>
      </c>
      <c r="I27" s="212" t="str">
        <f>IFERROR(VLOOKUP($C27,ITEM_MASTER!$A:$N,7,0),"?")</f>
        <v>Common</v>
      </c>
      <c r="J27" s="212" t="str">
        <f>IFERROR(VLOOKUP($C27,ITEM_MASTER!$A:$N,8,0),"?")</f>
        <v>unreleased</v>
      </c>
      <c r="K27" s="212" t="str">
        <f>IFERROR(VLOOKUP($C27,ITEM_MASTER!$A:$N,9,0),"?")</f>
        <v>Car Defaults</v>
      </c>
      <c r="L27" s="210"/>
    </row>
    <row r="28">
      <c r="A28" s="210" t="s">
        <v>85</v>
      </c>
      <c r="B28" s="210" t="s">
        <v>86</v>
      </c>
      <c r="C28" s="211" t="s">
        <v>232</v>
      </c>
      <c r="D28" s="212" t="str">
        <f>IFERROR(VLOOKUP(C28,ITEM_MASTER!$A:$C,2,0),"?")</f>
        <v>ccv</v>
      </c>
      <c r="E28" s="212" t="str">
        <f>IFERROR(VLOOKUP(C28,ITEM_MASTER!$A:$C,3,0),"?")</f>
        <v>part</v>
      </c>
      <c r="F28" s="212" t="str">
        <f>IFERROR(VLOOKUP(C28,ITEM_MASTER!$A:$D,4,0),"?")</f>
        <v>Front Bumper Sport</v>
      </c>
      <c r="G28" s="212" t="str">
        <f>IFERROR(VLOOKUP($C28,ITEM_MASTER!$A:$I,5,0),"?")</f>
        <v>Cản Trước Thể Thao</v>
      </c>
      <c r="H28" s="213">
        <v>1.0</v>
      </c>
      <c r="I28" s="212" t="str">
        <f>IFERROR(VLOOKUP($C28,ITEM_MASTER!$A:$N,7,0),"?")</f>
        <v>UnCommon</v>
      </c>
      <c r="J28" s="212" t="str">
        <f>IFERROR(VLOOKUP($C28,ITEM_MASTER!$A:$N,8,0),"?")</f>
        <v>unreleased</v>
      </c>
      <c r="K28" s="212" t="str">
        <f>IFERROR(VLOOKUP($C28,ITEM_MASTER!$A:$N,9,0),"?")</f>
        <v>Post-Race Rewards</v>
      </c>
      <c r="L28" s="210"/>
    </row>
    <row r="29">
      <c r="A29" s="210" t="s">
        <v>85</v>
      </c>
      <c r="B29" s="210" t="s">
        <v>86</v>
      </c>
      <c r="C29" s="211" t="s">
        <v>234</v>
      </c>
      <c r="D29" s="212" t="str">
        <f>IFERROR(VLOOKUP(C29,ITEM_MASTER!$A:$C,2,0),"?")</f>
        <v>ccv</v>
      </c>
      <c r="E29" s="212" t="str">
        <f>IFERROR(VLOOKUP(C29,ITEM_MASTER!$A:$C,3,0),"?")</f>
        <v>part</v>
      </c>
      <c r="F29" s="212" t="str">
        <f>IFERROR(VLOOKUP(C29,ITEM_MASTER!$A:$D,4,0),"?")</f>
        <v>Rear Bumper Sport</v>
      </c>
      <c r="G29" s="212" t="str">
        <f>IFERROR(VLOOKUP($C29,ITEM_MASTER!$A:$I,5,0),"?")</f>
        <v>Cản Sau Thể Thao</v>
      </c>
      <c r="H29" s="213">
        <v>1.0</v>
      </c>
      <c r="I29" s="212" t="str">
        <f>IFERROR(VLOOKUP($C29,ITEM_MASTER!$A:$N,7,0),"?")</f>
        <v>UnCommon</v>
      </c>
      <c r="J29" s="212" t="str">
        <f>IFERROR(VLOOKUP($C29,ITEM_MASTER!$A:$N,8,0),"?")</f>
        <v>unreleased</v>
      </c>
      <c r="K29" s="212" t="str">
        <f>IFERROR(VLOOKUP($C29,ITEM_MASTER!$A:$N,9,0),"?")</f>
        <v>Post-Race Rewards</v>
      </c>
      <c r="L29" s="210"/>
    </row>
    <row r="30">
      <c r="A30" s="210" t="s">
        <v>85</v>
      </c>
      <c r="B30" s="210" t="s">
        <v>86</v>
      </c>
      <c r="C30" s="211" t="s">
        <v>236</v>
      </c>
      <c r="D30" s="212" t="str">
        <f>IFERROR(VLOOKUP(C30,ITEM_MASTER!$A:$C,2,0),"?")</f>
        <v>ccv</v>
      </c>
      <c r="E30" s="212" t="str">
        <f>IFERROR(VLOOKUP(C30,ITEM_MASTER!$A:$C,3,0),"?")</f>
        <v>part</v>
      </c>
      <c r="F30" s="212" t="str">
        <f>IFERROR(VLOOKUP(C30,ITEM_MASTER!$A:$D,4,0),"?")</f>
        <v>Spoiler Sport</v>
      </c>
      <c r="G30" s="212" t="str">
        <f>IFERROR(VLOOKUP($C30,ITEM_MASTER!$A:$I,5,0),"?")</f>
        <v>Cánh Gió Thể Thao</v>
      </c>
      <c r="H30" s="213">
        <v>1.0</v>
      </c>
      <c r="I30" s="212" t="str">
        <f>IFERROR(VLOOKUP($C30,ITEM_MASTER!$A:$N,7,0),"?")</f>
        <v>UnCommon</v>
      </c>
      <c r="J30" s="212" t="str">
        <f>IFERROR(VLOOKUP($C30,ITEM_MASTER!$A:$N,8,0),"?")</f>
        <v>unreleased</v>
      </c>
      <c r="K30" s="212" t="str">
        <f>IFERROR(VLOOKUP($C30,ITEM_MASTER!$A:$N,9,0),"?")</f>
        <v>Post-Race Rewards</v>
      </c>
      <c r="L30" s="210"/>
    </row>
    <row r="31">
      <c r="A31" s="210" t="s">
        <v>85</v>
      </c>
      <c r="B31" s="210" t="s">
        <v>86</v>
      </c>
      <c r="C31" s="211" t="s">
        <v>238</v>
      </c>
      <c r="D31" s="212" t="str">
        <f>IFERROR(VLOOKUP(C31,ITEM_MASTER!$A:$C,2,0),"?")</f>
        <v>ccv</v>
      </c>
      <c r="E31" s="212" t="str">
        <f>IFERROR(VLOOKUP(C31,ITEM_MASTER!$A:$C,3,0),"?")</f>
        <v>part</v>
      </c>
      <c r="F31" s="212" t="str">
        <f>IFERROR(VLOOKUP(C31,ITEM_MASTER!$A:$D,4,0),"?")</f>
        <v>Roof Panel Sport</v>
      </c>
      <c r="G31" s="212" t="str">
        <f>IFERROR(VLOOKUP($C31,ITEM_MASTER!$A:$I,5,0),"?")</f>
        <v>Nóc Xe Thể Thao</v>
      </c>
      <c r="H31" s="213">
        <v>1.0</v>
      </c>
      <c r="I31" s="212" t="str">
        <f>IFERROR(VLOOKUP($C31,ITEM_MASTER!$A:$N,7,0),"?")</f>
        <v>UnCommon</v>
      </c>
      <c r="J31" s="212" t="str">
        <f>IFERROR(VLOOKUP($C31,ITEM_MASTER!$A:$N,8,0),"?")</f>
        <v>unreleased</v>
      </c>
      <c r="K31" s="212" t="str">
        <f>IFERROR(VLOOKUP($C31,ITEM_MASTER!$A:$N,9,0),"?")</f>
        <v>Post-Race Rewards</v>
      </c>
      <c r="L31" s="210"/>
    </row>
    <row r="32">
      <c r="A32" s="210" t="s">
        <v>85</v>
      </c>
      <c r="B32" s="210" t="s">
        <v>86</v>
      </c>
      <c r="C32" s="211" t="s">
        <v>240</v>
      </c>
      <c r="D32" s="212" t="str">
        <f>IFERROR(VLOOKUP(C32,ITEM_MASTER!$A:$C,2,0),"?")</f>
        <v>ccv</v>
      </c>
      <c r="E32" s="212" t="str">
        <f>IFERROR(VLOOKUP(C32,ITEM_MASTER!$A:$C,3,0),"?")</f>
        <v>part</v>
      </c>
      <c r="F32" s="212" t="str">
        <f>IFERROR(VLOOKUP(C32,ITEM_MASTER!$A:$D,4,0),"?")</f>
        <v>Wheel Sport</v>
      </c>
      <c r="G32" s="212" t="str">
        <f>IFERROR(VLOOKUP($C32,ITEM_MASTER!$A:$I,5,0),"?")</f>
        <v>Mâm Thể Thao</v>
      </c>
      <c r="H32" s="213">
        <v>1.0</v>
      </c>
      <c r="I32" s="212" t="str">
        <f>IFERROR(VLOOKUP($C32,ITEM_MASTER!$A:$N,7,0),"?")</f>
        <v>UnCommon</v>
      </c>
      <c r="J32" s="212" t="str">
        <f>IFERROR(VLOOKUP($C32,ITEM_MASTER!$A:$N,8,0),"?")</f>
        <v>unreleased</v>
      </c>
      <c r="K32" s="212" t="str">
        <f>IFERROR(VLOOKUP($C32,ITEM_MASTER!$A:$N,9,0),"?")</f>
        <v>Post-Race Rewards</v>
      </c>
      <c r="L32" s="210"/>
    </row>
    <row r="33">
      <c r="A33" s="210" t="s">
        <v>85</v>
      </c>
      <c r="B33" s="210" t="s">
        <v>86</v>
      </c>
      <c r="C33" s="211" t="s">
        <v>242</v>
      </c>
      <c r="D33" s="212" t="str">
        <f>IFERROR(VLOOKUP(C33,ITEM_MASTER!$A:$C,2,0),"?")</f>
        <v>ccv</v>
      </c>
      <c r="E33" s="212" t="str">
        <f>IFERROR(VLOOKUP(C33,ITEM_MASTER!$A:$C,3,0),"?")</f>
        <v>part</v>
      </c>
      <c r="F33" s="212" t="str">
        <f>IFERROR(VLOOKUP(C33,ITEM_MASTER!$A:$D,4,0),"?")</f>
        <v>Side Skirt Sport</v>
      </c>
      <c r="G33" s="212" t="str">
        <f>IFERROR(VLOOKUP($C33,ITEM_MASTER!$A:$I,5,0),"?")</f>
        <v>Ốp Sườn Thể Thao</v>
      </c>
      <c r="H33" s="213">
        <v>1.0</v>
      </c>
      <c r="I33" s="212" t="str">
        <f>IFERROR(VLOOKUP($C33,ITEM_MASTER!$A:$N,7,0),"?")</f>
        <v>UnCommon</v>
      </c>
      <c r="J33" s="212" t="str">
        <f>IFERROR(VLOOKUP($C33,ITEM_MASTER!$A:$N,8,0),"?")</f>
        <v>unreleased</v>
      </c>
      <c r="K33" s="212" t="str">
        <f>IFERROR(VLOOKUP($C33,ITEM_MASTER!$A:$N,9,0),"?")</f>
        <v>Post-Race Rewards</v>
      </c>
      <c r="L33" s="210"/>
    </row>
    <row r="34">
      <c r="A34" s="210" t="s">
        <v>85</v>
      </c>
      <c r="B34" s="210" t="s">
        <v>86</v>
      </c>
      <c r="C34" s="211" t="s">
        <v>244</v>
      </c>
      <c r="D34" s="212" t="str">
        <f>IFERROR(VLOOKUP(C34,ITEM_MASTER!$A:$C,2,0),"?")</f>
        <v>ccv</v>
      </c>
      <c r="E34" s="212" t="str">
        <f>IFERROR(VLOOKUP(C34,ITEM_MASTER!$A:$C,3,0),"?")</f>
        <v>part</v>
      </c>
      <c r="F34" s="212" t="str">
        <f>IFERROR(VLOOKUP(C34,ITEM_MASTER!$A:$D,4,0),"?")</f>
        <v>Front Bumper Luxury</v>
      </c>
      <c r="G34" s="212" t="str">
        <f>IFERROR(VLOOKUP($C34,ITEM_MASTER!$A:$I,5,0),"?")</f>
        <v>Cản Trước Cao Cấp</v>
      </c>
      <c r="H34" s="213">
        <v>1.0</v>
      </c>
      <c r="I34" s="212" t="str">
        <f>IFERROR(VLOOKUP($C34,ITEM_MASTER!$A:$N,7,0),"?")</f>
        <v>Rare</v>
      </c>
      <c r="J34" s="212" t="str">
        <f>IFERROR(VLOOKUP($C34,ITEM_MASTER!$A:$N,8,0),"?")</f>
        <v>unreleased</v>
      </c>
      <c r="K34" s="212" t="str">
        <f>IFERROR(VLOOKUP($C34,ITEM_MASTER!$A:$N,9,0),"?")</f>
        <v>Post-Race Rewards</v>
      </c>
      <c r="L34" s="210"/>
    </row>
    <row r="35">
      <c r="A35" s="210" t="s">
        <v>85</v>
      </c>
      <c r="B35" s="210" t="s">
        <v>86</v>
      </c>
      <c r="C35" s="211" t="s">
        <v>246</v>
      </c>
      <c r="D35" s="212" t="str">
        <f>IFERROR(VLOOKUP(C35,ITEM_MASTER!$A:$C,2,0),"?")</f>
        <v>ccv</v>
      </c>
      <c r="E35" s="212" t="str">
        <f>IFERROR(VLOOKUP(C35,ITEM_MASTER!$A:$C,3,0),"?")</f>
        <v>part</v>
      </c>
      <c r="F35" s="212" t="str">
        <f>IFERROR(VLOOKUP(C35,ITEM_MASTER!$A:$D,4,0),"?")</f>
        <v>Rear Bumper Luxury</v>
      </c>
      <c r="G35" s="212" t="str">
        <f>IFERROR(VLOOKUP($C35,ITEM_MASTER!$A:$I,5,0),"?")</f>
        <v>Cản Sau Cao Cấp</v>
      </c>
      <c r="H35" s="213">
        <v>1.0</v>
      </c>
      <c r="I35" s="212" t="str">
        <f>IFERROR(VLOOKUP($C35,ITEM_MASTER!$A:$N,7,0),"?")</f>
        <v>Rare</v>
      </c>
      <c r="J35" s="212" t="str">
        <f>IFERROR(VLOOKUP($C35,ITEM_MASTER!$A:$N,8,0),"?")</f>
        <v>unreleased</v>
      </c>
      <c r="K35" s="212" t="str">
        <f>IFERROR(VLOOKUP($C35,ITEM_MASTER!$A:$N,9,0),"?")</f>
        <v>Post-Race Rewards</v>
      </c>
      <c r="L35" s="210"/>
    </row>
    <row r="36">
      <c r="A36" s="210" t="s">
        <v>85</v>
      </c>
      <c r="B36" s="210" t="s">
        <v>86</v>
      </c>
      <c r="C36" s="211" t="s">
        <v>248</v>
      </c>
      <c r="D36" s="212" t="str">
        <f>IFERROR(VLOOKUP(C36,ITEM_MASTER!$A:$C,2,0),"?")</f>
        <v>ccv</v>
      </c>
      <c r="E36" s="212" t="str">
        <f>IFERROR(VLOOKUP(C36,ITEM_MASTER!$A:$C,3,0),"?")</f>
        <v>part</v>
      </c>
      <c r="F36" s="212" t="str">
        <f>IFERROR(VLOOKUP(C36,ITEM_MASTER!$A:$D,4,0),"?")</f>
        <v>Spoiler Luxury</v>
      </c>
      <c r="G36" s="212" t="str">
        <f>IFERROR(VLOOKUP($C36,ITEM_MASTER!$A:$I,5,0),"?")</f>
        <v>Cánh Gió Cao Cấp</v>
      </c>
      <c r="H36" s="213">
        <v>1.0</v>
      </c>
      <c r="I36" s="212" t="str">
        <f>IFERROR(VLOOKUP($C36,ITEM_MASTER!$A:$N,7,0),"?")</f>
        <v>Rare</v>
      </c>
      <c r="J36" s="212" t="str">
        <f>IFERROR(VLOOKUP($C36,ITEM_MASTER!$A:$N,8,0),"?")</f>
        <v>unreleased</v>
      </c>
      <c r="K36" s="212" t="str">
        <f>IFERROR(VLOOKUP($C36,ITEM_MASTER!$A:$N,9,0),"?")</f>
        <v>Post-Race Rewards</v>
      </c>
      <c r="L36" s="210"/>
    </row>
    <row r="37">
      <c r="A37" s="210" t="s">
        <v>85</v>
      </c>
      <c r="B37" s="210" t="s">
        <v>86</v>
      </c>
      <c r="C37" s="211" t="s">
        <v>250</v>
      </c>
      <c r="D37" s="212" t="str">
        <f>IFERROR(VLOOKUP(C37,ITEM_MASTER!$A:$C,2,0),"?")</f>
        <v>ccv</v>
      </c>
      <c r="E37" s="212" t="str">
        <f>IFERROR(VLOOKUP(C37,ITEM_MASTER!$A:$C,3,0),"?")</f>
        <v>part</v>
      </c>
      <c r="F37" s="212" t="str">
        <f>IFERROR(VLOOKUP(C37,ITEM_MASTER!$A:$D,4,0),"?")</f>
        <v>Roof Panel Luxury</v>
      </c>
      <c r="G37" s="212" t="str">
        <f>IFERROR(VLOOKUP($C37,ITEM_MASTER!$A:$I,5,0),"?")</f>
        <v>Nóc Xe Cao Cấp</v>
      </c>
      <c r="H37" s="213">
        <v>1.0</v>
      </c>
      <c r="I37" s="212" t="str">
        <f>IFERROR(VLOOKUP($C37,ITEM_MASTER!$A:$N,7,0),"?")</f>
        <v>Rare</v>
      </c>
      <c r="J37" s="212" t="str">
        <f>IFERROR(VLOOKUP($C37,ITEM_MASTER!$A:$N,8,0),"?")</f>
        <v>unreleased</v>
      </c>
      <c r="K37" s="212" t="str">
        <f>IFERROR(VLOOKUP($C37,ITEM_MASTER!$A:$N,9,0),"?")</f>
        <v>Post-Race Rewards</v>
      </c>
      <c r="L37" s="210"/>
    </row>
    <row r="38">
      <c r="A38" s="210" t="s">
        <v>85</v>
      </c>
      <c r="B38" s="210" t="s">
        <v>86</v>
      </c>
      <c r="C38" s="211" t="s">
        <v>252</v>
      </c>
      <c r="D38" s="212" t="str">
        <f>IFERROR(VLOOKUP(C38,ITEM_MASTER!$A:$C,2,0),"?")</f>
        <v>ccv</v>
      </c>
      <c r="E38" s="212" t="str">
        <f>IFERROR(VLOOKUP(C38,ITEM_MASTER!$A:$C,3,0),"?")</f>
        <v>part</v>
      </c>
      <c r="F38" s="212" t="str">
        <f>IFERROR(VLOOKUP(C38,ITEM_MASTER!$A:$D,4,0),"?")</f>
        <v>Wheel Luxury</v>
      </c>
      <c r="G38" s="212" t="str">
        <f>IFERROR(VLOOKUP($C38,ITEM_MASTER!$A:$I,5,0),"?")</f>
        <v>Mâm Cao Cấp</v>
      </c>
      <c r="H38" s="213">
        <v>1.0</v>
      </c>
      <c r="I38" s="212" t="str">
        <f>IFERROR(VLOOKUP($C38,ITEM_MASTER!$A:$N,7,0),"?")</f>
        <v>Rare</v>
      </c>
      <c r="J38" s="212" t="str">
        <f>IFERROR(VLOOKUP($C38,ITEM_MASTER!$A:$N,8,0),"?")</f>
        <v>unreleased</v>
      </c>
      <c r="K38" s="212" t="str">
        <f>IFERROR(VLOOKUP($C38,ITEM_MASTER!$A:$N,9,0),"?")</f>
        <v>Post-Race Rewards</v>
      </c>
      <c r="L38" s="210"/>
    </row>
    <row r="39">
      <c r="A39" s="210" t="s">
        <v>85</v>
      </c>
      <c r="B39" s="210" t="s">
        <v>86</v>
      </c>
      <c r="C39" s="211" t="s">
        <v>254</v>
      </c>
      <c r="D39" s="212" t="str">
        <f>IFERROR(VLOOKUP(C39,ITEM_MASTER!$A:$C,2,0),"?")</f>
        <v>ccv</v>
      </c>
      <c r="E39" s="212" t="str">
        <f>IFERROR(VLOOKUP(C39,ITEM_MASTER!$A:$C,3,0),"?")</f>
        <v>part</v>
      </c>
      <c r="F39" s="212" t="str">
        <f>IFERROR(VLOOKUP(C39,ITEM_MASTER!$A:$D,4,0),"?")</f>
        <v>Side Skirt Luxury</v>
      </c>
      <c r="G39" s="212" t="str">
        <f>IFERROR(VLOOKUP($C39,ITEM_MASTER!$A:$I,5,0),"?")</f>
        <v>Ốp Sườn Cao Cấp</v>
      </c>
      <c r="H39" s="213">
        <v>1.0</v>
      </c>
      <c r="I39" s="212" t="str">
        <f>IFERROR(VLOOKUP($C39,ITEM_MASTER!$A:$N,7,0),"?")</f>
        <v>Rare</v>
      </c>
      <c r="J39" s="212" t="str">
        <f>IFERROR(VLOOKUP($C39,ITEM_MASTER!$A:$N,8,0),"?")</f>
        <v>unreleased</v>
      </c>
      <c r="K39" s="212" t="str">
        <f>IFERROR(VLOOKUP($C39,ITEM_MASTER!$A:$N,9,0),"?")</f>
        <v>Post-Race Rewards</v>
      </c>
      <c r="L39" s="210"/>
    </row>
    <row r="40">
      <c r="A40" s="210" t="s">
        <v>85</v>
      </c>
      <c r="B40" s="210" t="s">
        <v>86</v>
      </c>
      <c r="C40" s="211" t="s">
        <v>256</v>
      </c>
      <c r="D40" s="212" t="str">
        <f>IFERROR(VLOOKUP(C40,ITEM_MASTER!$A:$C,2,0),"?")</f>
        <v>ccv</v>
      </c>
      <c r="E40" s="212" t="str">
        <f>IFERROR(VLOOKUP(C40,ITEM_MASTER!$A:$C,3,0),"?")</f>
        <v>part</v>
      </c>
      <c r="F40" s="212" t="str">
        <f>IFERROR(VLOOKUP(C40,ITEM_MASTER!$A:$D,4,0),"?")</f>
        <v>Front Bumper Basic</v>
      </c>
      <c r="G40" s="212" t="str">
        <f>IFERROR(VLOOKUP($C40,ITEM_MASTER!$A:$I,5,0),"?")</f>
        <v>Cản Trước Tiêu Chuẩn</v>
      </c>
      <c r="H40" s="213">
        <v>0.5</v>
      </c>
      <c r="I40" s="212" t="str">
        <f>IFERROR(VLOOKUP($C40,ITEM_MASTER!$A:$N,7,0),"?")</f>
        <v>Common</v>
      </c>
      <c r="J40" s="212" t="str">
        <f>IFERROR(VLOOKUP($C40,ITEM_MASTER!$A:$N,8,0),"?")</f>
        <v>unreleased</v>
      </c>
      <c r="K40" s="212" t="str">
        <f>IFERROR(VLOOKUP($C40,ITEM_MASTER!$A:$N,9,0),"?")</f>
        <v>Car Defaults</v>
      </c>
      <c r="L40" s="210"/>
    </row>
    <row r="41">
      <c r="A41" s="210" t="s">
        <v>85</v>
      </c>
      <c r="B41" s="210" t="s">
        <v>86</v>
      </c>
      <c r="C41" s="211" t="s">
        <v>258</v>
      </c>
      <c r="D41" s="212" t="str">
        <f>IFERROR(VLOOKUP(C41,ITEM_MASTER!$A:$C,2,0),"?")</f>
        <v>ccv</v>
      </c>
      <c r="E41" s="212" t="str">
        <f>IFERROR(VLOOKUP(C41,ITEM_MASTER!$A:$C,3,0),"?")</f>
        <v>part</v>
      </c>
      <c r="F41" s="212" t="str">
        <f>IFERROR(VLOOKUP(C41,ITEM_MASTER!$A:$D,4,0),"?")</f>
        <v>Rear Bumper Basic</v>
      </c>
      <c r="G41" s="212" t="str">
        <f>IFERROR(VLOOKUP($C41,ITEM_MASTER!$A:$I,5,0),"?")</f>
        <v>Cản Sau Tiêu Chuẩn</v>
      </c>
      <c r="H41" s="213">
        <v>0.5</v>
      </c>
      <c r="I41" s="212" t="str">
        <f>IFERROR(VLOOKUP($C41,ITEM_MASTER!$A:$N,7,0),"?")</f>
        <v>Common</v>
      </c>
      <c r="J41" s="212" t="str">
        <f>IFERROR(VLOOKUP($C41,ITEM_MASTER!$A:$N,8,0),"?")</f>
        <v>unreleased</v>
      </c>
      <c r="K41" s="212" t="str">
        <f>IFERROR(VLOOKUP($C41,ITEM_MASTER!$A:$N,9,0),"?")</f>
        <v>Car Defaults</v>
      </c>
      <c r="L41" s="210"/>
    </row>
    <row r="42">
      <c r="A42" s="210" t="s">
        <v>85</v>
      </c>
      <c r="B42" s="210" t="s">
        <v>86</v>
      </c>
      <c r="C42" s="211" t="s">
        <v>260</v>
      </c>
      <c r="D42" s="212" t="str">
        <f>IFERROR(VLOOKUP(C42,ITEM_MASTER!$A:$C,2,0),"?")</f>
        <v>ccv</v>
      </c>
      <c r="E42" s="212" t="str">
        <f>IFERROR(VLOOKUP(C42,ITEM_MASTER!$A:$C,3,0),"?")</f>
        <v>part</v>
      </c>
      <c r="F42" s="212" t="str">
        <f>IFERROR(VLOOKUP(C42,ITEM_MASTER!$A:$D,4,0),"?")</f>
        <v>Spoiler Basic</v>
      </c>
      <c r="G42" s="212" t="str">
        <f>IFERROR(VLOOKUP($C42,ITEM_MASTER!$A:$I,5,0),"?")</f>
        <v>Cánh Gió Tiêu Chuẩn</v>
      </c>
      <c r="H42" s="213">
        <v>0.5</v>
      </c>
      <c r="I42" s="212" t="str">
        <f>IFERROR(VLOOKUP($C42,ITEM_MASTER!$A:$N,7,0),"?")</f>
        <v>Common</v>
      </c>
      <c r="J42" s="212" t="str">
        <f>IFERROR(VLOOKUP($C42,ITEM_MASTER!$A:$N,8,0),"?")</f>
        <v>unreleased</v>
      </c>
      <c r="K42" s="212" t="str">
        <f>IFERROR(VLOOKUP($C42,ITEM_MASTER!$A:$N,9,0),"?")</f>
        <v>Car Defaults</v>
      </c>
      <c r="L42" s="210"/>
    </row>
    <row r="43">
      <c r="A43" s="210" t="s">
        <v>85</v>
      </c>
      <c r="B43" s="210" t="s">
        <v>86</v>
      </c>
      <c r="C43" s="211" t="s">
        <v>262</v>
      </c>
      <c r="D43" s="212" t="str">
        <f>IFERROR(VLOOKUP(C43,ITEM_MASTER!$A:$C,2,0),"?")</f>
        <v>ccv</v>
      </c>
      <c r="E43" s="212" t="str">
        <f>IFERROR(VLOOKUP(C43,ITEM_MASTER!$A:$C,3,0),"?")</f>
        <v>part</v>
      </c>
      <c r="F43" s="212" t="str">
        <f>IFERROR(VLOOKUP(C43,ITEM_MASTER!$A:$D,4,0),"?")</f>
        <v>Roof Panel Basic</v>
      </c>
      <c r="G43" s="212" t="str">
        <f>IFERROR(VLOOKUP($C43,ITEM_MASTER!$A:$I,5,0),"?")</f>
        <v>Nóc Xe Tiêu Chuẩn</v>
      </c>
      <c r="H43" s="213">
        <v>0.5</v>
      </c>
      <c r="I43" s="212" t="str">
        <f>IFERROR(VLOOKUP($C43,ITEM_MASTER!$A:$N,7,0),"?")</f>
        <v>Common</v>
      </c>
      <c r="J43" s="212" t="str">
        <f>IFERROR(VLOOKUP($C43,ITEM_MASTER!$A:$N,8,0),"?")</f>
        <v>unreleased</v>
      </c>
      <c r="K43" s="212" t="str">
        <f>IFERROR(VLOOKUP($C43,ITEM_MASTER!$A:$N,9,0),"?")</f>
        <v>Car Defaults</v>
      </c>
      <c r="L43" s="210"/>
    </row>
    <row r="44">
      <c r="A44" s="210" t="s">
        <v>85</v>
      </c>
      <c r="B44" s="210" t="s">
        <v>86</v>
      </c>
      <c r="C44" s="211" t="s">
        <v>264</v>
      </c>
      <c r="D44" s="212" t="str">
        <f>IFERROR(VLOOKUP(C44,ITEM_MASTER!$A:$C,2,0),"?")</f>
        <v>ccv</v>
      </c>
      <c r="E44" s="212" t="str">
        <f>IFERROR(VLOOKUP(C44,ITEM_MASTER!$A:$C,3,0),"?")</f>
        <v>part</v>
      </c>
      <c r="F44" s="212" t="str">
        <f>IFERROR(VLOOKUP(C44,ITEM_MASTER!$A:$D,4,0),"?")</f>
        <v>Wheel Basic</v>
      </c>
      <c r="G44" s="212" t="str">
        <f>IFERROR(VLOOKUP($C44,ITEM_MASTER!$A:$I,5,0),"?")</f>
        <v>Mâm Tiêu Chuẩn</v>
      </c>
      <c r="H44" s="213">
        <v>0.5</v>
      </c>
      <c r="I44" s="212" t="str">
        <f>IFERROR(VLOOKUP($C44,ITEM_MASTER!$A:$N,7,0),"?")</f>
        <v>Common</v>
      </c>
      <c r="J44" s="212" t="str">
        <f>IFERROR(VLOOKUP($C44,ITEM_MASTER!$A:$N,8,0),"?")</f>
        <v>unreleased</v>
      </c>
      <c r="K44" s="212" t="str">
        <f>IFERROR(VLOOKUP($C44,ITEM_MASTER!$A:$N,9,0),"?")</f>
        <v>Car Defaults</v>
      </c>
      <c r="L44" s="210"/>
    </row>
    <row r="45">
      <c r="A45" s="210" t="s">
        <v>85</v>
      </c>
      <c r="B45" s="210" t="s">
        <v>86</v>
      </c>
      <c r="C45" s="211" t="s">
        <v>266</v>
      </c>
      <c r="D45" s="212" t="str">
        <f>IFERROR(VLOOKUP(C45,ITEM_MASTER!$A:$C,2,0),"?")</f>
        <v>ccv</v>
      </c>
      <c r="E45" s="212" t="str">
        <f>IFERROR(VLOOKUP(C45,ITEM_MASTER!$A:$C,3,0),"?")</f>
        <v>part</v>
      </c>
      <c r="F45" s="212" t="str">
        <f>IFERROR(VLOOKUP(C45,ITEM_MASTER!$A:$D,4,0),"?")</f>
        <v>Side Skirt Basic</v>
      </c>
      <c r="G45" s="212" t="str">
        <f>IFERROR(VLOOKUP($C45,ITEM_MASTER!$A:$I,5,0),"?")</f>
        <v>Ốp Sườn Tiêu Chuẩn</v>
      </c>
      <c r="H45" s="213">
        <v>0.5</v>
      </c>
      <c r="I45" s="212" t="str">
        <f>IFERROR(VLOOKUP($C45,ITEM_MASTER!$A:$N,7,0),"?")</f>
        <v>Common</v>
      </c>
      <c r="J45" s="212" t="str">
        <f>IFERROR(VLOOKUP($C45,ITEM_MASTER!$A:$N,8,0),"?")</f>
        <v>unreleased</v>
      </c>
      <c r="K45" s="212" t="str">
        <f>IFERROR(VLOOKUP($C45,ITEM_MASTER!$A:$N,9,0),"?")</f>
        <v>Car Defaults</v>
      </c>
      <c r="L45" s="210"/>
    </row>
    <row r="46">
      <c r="A46" s="210" t="s">
        <v>85</v>
      </c>
      <c r="B46" s="210" t="s">
        <v>86</v>
      </c>
      <c r="C46" s="211" t="s">
        <v>268</v>
      </c>
      <c r="D46" s="212" t="str">
        <f>IFERROR(VLOOKUP(C46,ITEM_MASTER!$A:$C,2,0),"?")</f>
        <v>ccv</v>
      </c>
      <c r="E46" s="212" t="str">
        <f>IFERROR(VLOOKUP(C46,ITEM_MASTER!$A:$C,3,0),"?")</f>
        <v>part</v>
      </c>
      <c r="F46" s="212" t="str">
        <f>IFERROR(VLOOKUP(C46,ITEM_MASTER!$A:$D,4,0),"?")</f>
        <v>Front Bumper Sport</v>
      </c>
      <c r="G46" s="212" t="str">
        <f>IFERROR(VLOOKUP($C46,ITEM_MASTER!$A:$I,5,0),"?")</f>
        <v>Cản Trước Thể Thao</v>
      </c>
      <c r="H46" s="213">
        <v>1.0</v>
      </c>
      <c r="I46" s="212" t="str">
        <f>IFERROR(VLOOKUP($C46,ITEM_MASTER!$A:$N,7,0),"?")</f>
        <v>UnCommon</v>
      </c>
      <c r="J46" s="212" t="str">
        <f>IFERROR(VLOOKUP($C46,ITEM_MASTER!$A:$N,8,0),"?")</f>
        <v>unreleased</v>
      </c>
      <c r="K46" s="212" t="str">
        <f>IFERROR(VLOOKUP($C46,ITEM_MASTER!$A:$N,9,0),"?")</f>
        <v>Post-Race Rewards</v>
      </c>
      <c r="L46" s="210"/>
    </row>
    <row r="47">
      <c r="A47" s="210" t="s">
        <v>85</v>
      </c>
      <c r="B47" s="210" t="s">
        <v>86</v>
      </c>
      <c r="C47" s="211" t="s">
        <v>270</v>
      </c>
      <c r="D47" s="212" t="str">
        <f>IFERROR(VLOOKUP(C47,ITEM_MASTER!$A:$C,2,0),"?")</f>
        <v>ccv</v>
      </c>
      <c r="E47" s="212" t="str">
        <f>IFERROR(VLOOKUP(C47,ITEM_MASTER!$A:$C,3,0),"?")</f>
        <v>part</v>
      </c>
      <c r="F47" s="212" t="str">
        <f>IFERROR(VLOOKUP(C47,ITEM_MASTER!$A:$D,4,0),"?")</f>
        <v>Rear Bumper Sport</v>
      </c>
      <c r="G47" s="212" t="str">
        <f>IFERROR(VLOOKUP($C47,ITEM_MASTER!$A:$I,5,0),"?")</f>
        <v>Cản Sau Thể Thao</v>
      </c>
      <c r="H47" s="213">
        <v>1.0</v>
      </c>
      <c r="I47" s="212" t="str">
        <f>IFERROR(VLOOKUP($C47,ITEM_MASTER!$A:$N,7,0),"?")</f>
        <v>UnCommon</v>
      </c>
      <c r="J47" s="212" t="str">
        <f>IFERROR(VLOOKUP($C47,ITEM_MASTER!$A:$N,8,0),"?")</f>
        <v>unreleased</v>
      </c>
      <c r="K47" s="212" t="str">
        <f>IFERROR(VLOOKUP($C47,ITEM_MASTER!$A:$N,9,0),"?")</f>
        <v>Post-Race Rewards</v>
      </c>
      <c r="L47" s="210"/>
    </row>
    <row r="48">
      <c r="A48" s="210" t="s">
        <v>85</v>
      </c>
      <c r="B48" s="210" t="s">
        <v>86</v>
      </c>
      <c r="C48" s="211" t="s">
        <v>272</v>
      </c>
      <c r="D48" s="212" t="str">
        <f>IFERROR(VLOOKUP(C48,ITEM_MASTER!$A:$C,2,0),"?")</f>
        <v>ccv</v>
      </c>
      <c r="E48" s="212" t="str">
        <f>IFERROR(VLOOKUP(C48,ITEM_MASTER!$A:$C,3,0),"?")</f>
        <v>part</v>
      </c>
      <c r="F48" s="212" t="str">
        <f>IFERROR(VLOOKUP(C48,ITEM_MASTER!$A:$D,4,0),"?")</f>
        <v>Spoiler Sport</v>
      </c>
      <c r="G48" s="212" t="str">
        <f>IFERROR(VLOOKUP($C48,ITEM_MASTER!$A:$I,5,0),"?")</f>
        <v>Cánh Gió Thể Thao</v>
      </c>
      <c r="H48" s="213">
        <v>1.0</v>
      </c>
      <c r="I48" s="212" t="str">
        <f>IFERROR(VLOOKUP($C48,ITEM_MASTER!$A:$N,7,0),"?")</f>
        <v>UnCommon</v>
      </c>
      <c r="J48" s="212" t="str">
        <f>IFERROR(VLOOKUP($C48,ITEM_MASTER!$A:$N,8,0),"?")</f>
        <v>unreleased</v>
      </c>
      <c r="K48" s="212" t="str">
        <f>IFERROR(VLOOKUP($C48,ITEM_MASTER!$A:$N,9,0),"?")</f>
        <v>Post-Race Rewards</v>
      </c>
      <c r="L48" s="210"/>
    </row>
    <row r="49">
      <c r="A49" s="210" t="s">
        <v>85</v>
      </c>
      <c r="B49" s="210" t="s">
        <v>86</v>
      </c>
      <c r="C49" s="211" t="s">
        <v>274</v>
      </c>
      <c r="D49" s="212" t="str">
        <f>IFERROR(VLOOKUP(C49,ITEM_MASTER!$A:$C,2,0),"?")</f>
        <v>ccv</v>
      </c>
      <c r="E49" s="212" t="str">
        <f>IFERROR(VLOOKUP(C49,ITEM_MASTER!$A:$C,3,0),"?")</f>
        <v>part</v>
      </c>
      <c r="F49" s="212" t="str">
        <f>IFERROR(VLOOKUP(C49,ITEM_MASTER!$A:$D,4,0),"?")</f>
        <v>Roof Panel Sport</v>
      </c>
      <c r="G49" s="212" t="str">
        <f>IFERROR(VLOOKUP($C49,ITEM_MASTER!$A:$I,5,0),"?")</f>
        <v>Nóc Xe Thể Thao</v>
      </c>
      <c r="H49" s="213">
        <v>1.0</v>
      </c>
      <c r="I49" s="212" t="str">
        <f>IFERROR(VLOOKUP($C49,ITEM_MASTER!$A:$N,7,0),"?")</f>
        <v>UnCommon</v>
      </c>
      <c r="J49" s="212" t="str">
        <f>IFERROR(VLOOKUP($C49,ITEM_MASTER!$A:$N,8,0),"?")</f>
        <v>unreleased</v>
      </c>
      <c r="K49" s="212" t="str">
        <f>IFERROR(VLOOKUP($C49,ITEM_MASTER!$A:$N,9,0),"?")</f>
        <v>Post-Race Rewards</v>
      </c>
      <c r="L49" s="210"/>
    </row>
    <row r="50">
      <c r="A50" s="210" t="s">
        <v>85</v>
      </c>
      <c r="B50" s="210" t="s">
        <v>86</v>
      </c>
      <c r="C50" s="211" t="s">
        <v>276</v>
      </c>
      <c r="D50" s="212" t="str">
        <f>IFERROR(VLOOKUP(C50,ITEM_MASTER!$A:$C,2,0),"?")</f>
        <v>ccv</v>
      </c>
      <c r="E50" s="212" t="str">
        <f>IFERROR(VLOOKUP(C50,ITEM_MASTER!$A:$C,3,0),"?")</f>
        <v>part</v>
      </c>
      <c r="F50" s="212" t="str">
        <f>IFERROR(VLOOKUP(C50,ITEM_MASTER!$A:$D,4,0),"?")</f>
        <v>Wheel Sport</v>
      </c>
      <c r="G50" s="212" t="str">
        <f>IFERROR(VLOOKUP($C50,ITEM_MASTER!$A:$I,5,0),"?")</f>
        <v>Mâm Thể Thao</v>
      </c>
      <c r="H50" s="213">
        <v>1.0</v>
      </c>
      <c r="I50" s="212" t="str">
        <f>IFERROR(VLOOKUP($C50,ITEM_MASTER!$A:$N,7,0),"?")</f>
        <v>UnCommon</v>
      </c>
      <c r="J50" s="212" t="str">
        <f>IFERROR(VLOOKUP($C50,ITEM_MASTER!$A:$N,8,0),"?")</f>
        <v>unreleased</v>
      </c>
      <c r="K50" s="212" t="str">
        <f>IFERROR(VLOOKUP($C50,ITEM_MASTER!$A:$N,9,0),"?")</f>
        <v>Post-Race Rewards</v>
      </c>
      <c r="L50" s="210"/>
    </row>
    <row r="51">
      <c r="A51" s="210" t="s">
        <v>85</v>
      </c>
      <c r="B51" s="210" t="s">
        <v>86</v>
      </c>
      <c r="C51" s="211" t="s">
        <v>278</v>
      </c>
      <c r="D51" s="212" t="str">
        <f>IFERROR(VLOOKUP(C51,ITEM_MASTER!$A:$C,2,0),"?")</f>
        <v>ccv</v>
      </c>
      <c r="E51" s="212" t="str">
        <f>IFERROR(VLOOKUP(C51,ITEM_MASTER!$A:$C,3,0),"?")</f>
        <v>part</v>
      </c>
      <c r="F51" s="212" t="str">
        <f>IFERROR(VLOOKUP(C51,ITEM_MASTER!$A:$D,4,0),"?")</f>
        <v>Side Skirt Sport</v>
      </c>
      <c r="G51" s="212" t="str">
        <f>IFERROR(VLOOKUP($C51,ITEM_MASTER!$A:$I,5,0),"?")</f>
        <v>Ốp Sườn Thể Thao</v>
      </c>
      <c r="H51" s="213">
        <v>1.0</v>
      </c>
      <c r="I51" s="212" t="str">
        <f>IFERROR(VLOOKUP($C51,ITEM_MASTER!$A:$N,7,0),"?")</f>
        <v>UnCommon</v>
      </c>
      <c r="J51" s="212" t="str">
        <f>IFERROR(VLOOKUP($C51,ITEM_MASTER!$A:$N,8,0),"?")</f>
        <v>unreleased</v>
      </c>
      <c r="K51" s="212" t="str">
        <f>IFERROR(VLOOKUP($C51,ITEM_MASTER!$A:$N,9,0),"?")</f>
        <v>Post-Race Rewards</v>
      </c>
      <c r="L51" s="210"/>
    </row>
    <row r="52">
      <c r="A52" s="210" t="s">
        <v>85</v>
      </c>
      <c r="B52" s="210" t="s">
        <v>86</v>
      </c>
      <c r="C52" s="211" t="s">
        <v>280</v>
      </c>
      <c r="D52" s="212" t="str">
        <f>IFERROR(VLOOKUP(C52,ITEM_MASTER!$A:$C,2,0),"?")</f>
        <v>ccv</v>
      </c>
      <c r="E52" s="212" t="str">
        <f>IFERROR(VLOOKUP(C52,ITEM_MASTER!$A:$C,3,0),"?")</f>
        <v>part</v>
      </c>
      <c r="F52" s="212" t="str">
        <f>IFERROR(VLOOKUP(C52,ITEM_MASTER!$A:$D,4,0),"?")</f>
        <v>Front Bumper Luxury</v>
      </c>
      <c r="G52" s="212" t="str">
        <f>IFERROR(VLOOKUP($C52,ITEM_MASTER!$A:$I,5,0),"?")</f>
        <v>Cản Trước Cao Cấp</v>
      </c>
      <c r="H52" s="213">
        <v>1.0</v>
      </c>
      <c r="I52" s="212" t="str">
        <f>IFERROR(VLOOKUP($C52,ITEM_MASTER!$A:$N,7,0),"?")</f>
        <v>Rare</v>
      </c>
      <c r="J52" s="212" t="str">
        <f>IFERROR(VLOOKUP($C52,ITEM_MASTER!$A:$N,8,0),"?")</f>
        <v>unreleased</v>
      </c>
      <c r="K52" s="212" t="str">
        <f>IFERROR(VLOOKUP($C52,ITEM_MASTER!$A:$N,9,0),"?")</f>
        <v>Post-Race Rewards</v>
      </c>
      <c r="L52" s="210"/>
    </row>
    <row r="53">
      <c r="A53" s="210" t="s">
        <v>85</v>
      </c>
      <c r="B53" s="210" t="s">
        <v>86</v>
      </c>
      <c r="C53" s="211" t="s">
        <v>282</v>
      </c>
      <c r="D53" s="212" t="str">
        <f>IFERROR(VLOOKUP(C53,ITEM_MASTER!$A:$C,2,0),"?")</f>
        <v>ccv</v>
      </c>
      <c r="E53" s="212" t="str">
        <f>IFERROR(VLOOKUP(C53,ITEM_MASTER!$A:$C,3,0),"?")</f>
        <v>part</v>
      </c>
      <c r="F53" s="212" t="str">
        <f>IFERROR(VLOOKUP(C53,ITEM_MASTER!$A:$D,4,0),"?")</f>
        <v>Rear Bumper Luxury</v>
      </c>
      <c r="G53" s="212" t="str">
        <f>IFERROR(VLOOKUP($C53,ITEM_MASTER!$A:$I,5,0),"?")</f>
        <v>Cản Sau Cao Cấp</v>
      </c>
      <c r="H53" s="213">
        <v>1.0</v>
      </c>
      <c r="I53" s="212" t="str">
        <f>IFERROR(VLOOKUP($C53,ITEM_MASTER!$A:$N,7,0),"?")</f>
        <v>Rare</v>
      </c>
      <c r="J53" s="212" t="str">
        <f>IFERROR(VLOOKUP($C53,ITEM_MASTER!$A:$N,8,0),"?")</f>
        <v>unreleased</v>
      </c>
      <c r="K53" s="212" t="str">
        <f>IFERROR(VLOOKUP($C53,ITEM_MASTER!$A:$N,9,0),"?")</f>
        <v>Post-Race Rewards</v>
      </c>
      <c r="L53" s="210"/>
    </row>
    <row r="54">
      <c r="A54" s="210" t="s">
        <v>85</v>
      </c>
      <c r="B54" s="210" t="s">
        <v>86</v>
      </c>
      <c r="C54" s="211" t="s">
        <v>284</v>
      </c>
      <c r="D54" s="212" t="str">
        <f>IFERROR(VLOOKUP(C54,ITEM_MASTER!$A:$C,2,0),"?")</f>
        <v>ccv</v>
      </c>
      <c r="E54" s="212" t="str">
        <f>IFERROR(VLOOKUP(C54,ITEM_MASTER!$A:$C,3,0),"?")</f>
        <v>part</v>
      </c>
      <c r="F54" s="212" t="str">
        <f>IFERROR(VLOOKUP(C54,ITEM_MASTER!$A:$D,4,0),"?")</f>
        <v>Spoiler Luxury</v>
      </c>
      <c r="G54" s="212" t="str">
        <f>IFERROR(VLOOKUP($C54,ITEM_MASTER!$A:$I,5,0),"?")</f>
        <v>Cánh Gió Cao Cấp</v>
      </c>
      <c r="H54" s="213">
        <v>1.0</v>
      </c>
      <c r="I54" s="212" t="str">
        <f>IFERROR(VLOOKUP($C54,ITEM_MASTER!$A:$N,7,0),"?")</f>
        <v>Rare</v>
      </c>
      <c r="J54" s="212" t="str">
        <f>IFERROR(VLOOKUP($C54,ITEM_MASTER!$A:$N,8,0),"?")</f>
        <v>unreleased</v>
      </c>
      <c r="K54" s="212" t="str">
        <f>IFERROR(VLOOKUP($C54,ITEM_MASTER!$A:$N,9,0),"?")</f>
        <v>Post-Race Rewards</v>
      </c>
      <c r="L54" s="210"/>
    </row>
    <row r="55">
      <c r="A55" s="210" t="s">
        <v>85</v>
      </c>
      <c r="B55" s="210" t="s">
        <v>86</v>
      </c>
      <c r="C55" s="211" t="s">
        <v>286</v>
      </c>
      <c r="D55" s="212" t="str">
        <f>IFERROR(VLOOKUP(C55,ITEM_MASTER!$A:$C,2,0),"?")</f>
        <v>ccv</v>
      </c>
      <c r="E55" s="212" t="str">
        <f>IFERROR(VLOOKUP(C55,ITEM_MASTER!$A:$C,3,0),"?")</f>
        <v>part</v>
      </c>
      <c r="F55" s="212" t="str">
        <f>IFERROR(VLOOKUP(C55,ITEM_MASTER!$A:$D,4,0),"?")</f>
        <v>Roof Panel Luxury</v>
      </c>
      <c r="G55" s="212" t="str">
        <f>IFERROR(VLOOKUP($C55,ITEM_MASTER!$A:$I,5,0),"?")</f>
        <v>Nóc Xe Cao Cấp</v>
      </c>
      <c r="H55" s="213">
        <v>1.0</v>
      </c>
      <c r="I55" s="212" t="str">
        <f>IFERROR(VLOOKUP($C55,ITEM_MASTER!$A:$N,7,0),"?")</f>
        <v>Rare</v>
      </c>
      <c r="J55" s="212" t="str">
        <f>IFERROR(VLOOKUP($C55,ITEM_MASTER!$A:$N,8,0),"?")</f>
        <v>unreleased</v>
      </c>
      <c r="K55" s="212" t="str">
        <f>IFERROR(VLOOKUP($C55,ITEM_MASTER!$A:$N,9,0),"?")</f>
        <v>Post-Race Rewards</v>
      </c>
      <c r="L55" s="210"/>
    </row>
    <row r="56">
      <c r="A56" s="210" t="s">
        <v>85</v>
      </c>
      <c r="B56" s="210" t="s">
        <v>86</v>
      </c>
      <c r="C56" s="211" t="s">
        <v>288</v>
      </c>
      <c r="D56" s="212" t="str">
        <f>IFERROR(VLOOKUP(C56,ITEM_MASTER!$A:$C,2,0),"?")</f>
        <v>ccv</v>
      </c>
      <c r="E56" s="212" t="str">
        <f>IFERROR(VLOOKUP(C56,ITEM_MASTER!$A:$C,3,0),"?")</f>
        <v>part</v>
      </c>
      <c r="F56" s="212" t="str">
        <f>IFERROR(VLOOKUP(C56,ITEM_MASTER!$A:$D,4,0),"?")</f>
        <v>Wheel Luxury</v>
      </c>
      <c r="G56" s="212" t="str">
        <f>IFERROR(VLOOKUP($C56,ITEM_MASTER!$A:$I,5,0),"?")</f>
        <v>Mâm Cao Cấp</v>
      </c>
      <c r="H56" s="213">
        <v>1.0</v>
      </c>
      <c r="I56" s="212" t="str">
        <f>IFERROR(VLOOKUP($C56,ITEM_MASTER!$A:$N,7,0),"?")</f>
        <v>Rare</v>
      </c>
      <c r="J56" s="212" t="str">
        <f>IFERROR(VLOOKUP($C56,ITEM_MASTER!$A:$N,8,0),"?")</f>
        <v>unreleased</v>
      </c>
      <c r="K56" s="212" t="str">
        <f>IFERROR(VLOOKUP($C56,ITEM_MASTER!$A:$N,9,0),"?")</f>
        <v>Post-Race Rewards</v>
      </c>
      <c r="L56" s="210"/>
    </row>
    <row r="57">
      <c r="A57" s="210" t="s">
        <v>85</v>
      </c>
      <c r="B57" s="210" t="s">
        <v>86</v>
      </c>
      <c r="C57" s="211" t="s">
        <v>290</v>
      </c>
      <c r="D57" s="212" t="str">
        <f>IFERROR(VLOOKUP(C57,ITEM_MASTER!$A:$C,2,0),"?")</f>
        <v>ccv</v>
      </c>
      <c r="E57" s="212" t="str">
        <f>IFERROR(VLOOKUP(C57,ITEM_MASTER!$A:$C,3,0),"?")</f>
        <v>part</v>
      </c>
      <c r="F57" s="212" t="str">
        <f>IFERROR(VLOOKUP(C57,ITEM_MASTER!$A:$D,4,0),"?")</f>
        <v>Side Skirt Luxury</v>
      </c>
      <c r="G57" s="212" t="str">
        <f>IFERROR(VLOOKUP($C57,ITEM_MASTER!$A:$I,5,0),"?")</f>
        <v>Ốp Sườn Cao Cấp</v>
      </c>
      <c r="H57" s="213">
        <v>1.0</v>
      </c>
      <c r="I57" s="212" t="str">
        <f>IFERROR(VLOOKUP($C57,ITEM_MASTER!$A:$N,7,0),"?")</f>
        <v>Rare</v>
      </c>
      <c r="J57" s="212" t="str">
        <f>IFERROR(VLOOKUP($C57,ITEM_MASTER!$A:$N,8,0),"?")</f>
        <v>unreleased</v>
      </c>
      <c r="K57" s="212" t="str">
        <f>IFERROR(VLOOKUP($C57,ITEM_MASTER!$A:$N,9,0),"?")</f>
        <v>Post-Race Rewards</v>
      </c>
      <c r="L57" s="210"/>
    </row>
    <row r="58">
      <c r="A58" s="210" t="s">
        <v>85</v>
      </c>
      <c r="B58" s="210" t="s">
        <v>86</v>
      </c>
      <c r="C58" s="211" t="s">
        <v>292</v>
      </c>
      <c r="D58" s="212" t="str">
        <f>IFERROR(VLOOKUP(C58,ITEM_MASTER!$A:$C,2,0),"?")</f>
        <v>ccv</v>
      </c>
      <c r="E58" s="212" t="str">
        <f>IFERROR(VLOOKUP(C58,ITEM_MASTER!$A:$C,3,0),"?")</f>
        <v>mat_body</v>
      </c>
      <c r="F58" s="212" t="str">
        <f>IFERROR(VLOOKUP(C58,ITEM_MASTER!$A:$D,4,0),"?")</f>
        <v>Metallic Paint #1</v>
      </c>
      <c r="G58" s="212" t="str">
        <f>IFERROR(VLOOKUP($C58,ITEM_MASTER!$A:$I,5,0),"?")</f>
        <v>Sơn Kim Loại #1</v>
      </c>
      <c r="H58" s="213">
        <v>1.0</v>
      </c>
      <c r="I58" s="212" t="str">
        <f>IFERROR(VLOOKUP($C58,ITEM_MASTER!$A:$N,7,0),"?")</f>
        <v>Common</v>
      </c>
      <c r="J58" s="212" t="str">
        <f>IFERROR(VLOOKUP($C58,ITEM_MASTER!$A:$N,8,0),"?")</f>
        <v>unreleased</v>
      </c>
      <c r="K58" s="212" t="str">
        <f>IFERROR(VLOOKUP($C58,ITEM_MASTER!$A:$N,9,0),"?")</f>
        <v>Post-Race Rewards</v>
      </c>
      <c r="L58" s="210"/>
    </row>
    <row r="59">
      <c r="A59" s="210" t="s">
        <v>85</v>
      </c>
      <c r="B59" s="210" t="s">
        <v>86</v>
      </c>
      <c r="C59" s="211" t="s">
        <v>296</v>
      </c>
      <c r="D59" s="212" t="str">
        <f>IFERROR(VLOOKUP(C59,ITEM_MASTER!$A:$C,2,0),"?")</f>
        <v>ccv</v>
      </c>
      <c r="E59" s="212" t="str">
        <f>IFERROR(VLOOKUP(C59,ITEM_MASTER!$A:$C,3,0),"?")</f>
        <v>mat_body</v>
      </c>
      <c r="F59" s="212" t="str">
        <f>IFERROR(VLOOKUP(C59,ITEM_MASTER!$A:$D,4,0),"?")</f>
        <v>Metallic Paint #2</v>
      </c>
      <c r="G59" s="212" t="str">
        <f>IFERROR(VLOOKUP($C59,ITEM_MASTER!$A:$I,5,0),"?")</f>
        <v>Sơn Kim Loại #2</v>
      </c>
      <c r="H59" s="213">
        <v>1.0</v>
      </c>
      <c r="I59" s="212" t="str">
        <f>IFERROR(VLOOKUP($C59,ITEM_MASTER!$A:$N,7,0),"?")</f>
        <v>Common</v>
      </c>
      <c r="J59" s="212" t="str">
        <f>IFERROR(VLOOKUP($C59,ITEM_MASTER!$A:$N,8,0),"?")</f>
        <v>unreleased</v>
      </c>
      <c r="K59" s="212" t="str">
        <f>IFERROR(VLOOKUP($C59,ITEM_MASTER!$A:$N,9,0),"?")</f>
        <v>Post-Race Rewards</v>
      </c>
      <c r="L59" s="210"/>
    </row>
    <row r="60">
      <c r="A60" s="210" t="s">
        <v>85</v>
      </c>
      <c r="B60" s="210" t="s">
        <v>86</v>
      </c>
      <c r="C60" s="211" t="s">
        <v>299</v>
      </c>
      <c r="D60" s="212" t="str">
        <f>IFERROR(VLOOKUP(C60,ITEM_MASTER!$A:$C,2,0),"?")</f>
        <v>ccv</v>
      </c>
      <c r="E60" s="212" t="str">
        <f>IFERROR(VLOOKUP(C60,ITEM_MASTER!$A:$C,3,0),"?")</f>
        <v>mat_body</v>
      </c>
      <c r="F60" s="212" t="str">
        <f>IFERROR(VLOOKUP(C60,ITEM_MASTER!$A:$D,4,0),"?")</f>
        <v>Metallic Paint #3</v>
      </c>
      <c r="G60" s="212" t="str">
        <f>IFERROR(VLOOKUP($C60,ITEM_MASTER!$A:$I,5,0),"?")</f>
        <v>Sơn Kim Loại #3</v>
      </c>
      <c r="H60" s="213">
        <v>1.0</v>
      </c>
      <c r="I60" s="212" t="str">
        <f>IFERROR(VLOOKUP($C60,ITEM_MASTER!$A:$N,7,0),"?")</f>
        <v>Common</v>
      </c>
      <c r="J60" s="212" t="str">
        <f>IFERROR(VLOOKUP($C60,ITEM_MASTER!$A:$N,8,0),"?")</f>
        <v>unreleased</v>
      </c>
      <c r="K60" s="212" t="str">
        <f>IFERROR(VLOOKUP($C60,ITEM_MASTER!$A:$N,9,0),"?")</f>
        <v>Post-Race Rewards</v>
      </c>
      <c r="L60" s="210"/>
    </row>
    <row r="61">
      <c r="A61" s="210" t="s">
        <v>85</v>
      </c>
      <c r="B61" s="210" t="s">
        <v>86</v>
      </c>
      <c r="C61" s="211" t="s">
        <v>302</v>
      </c>
      <c r="D61" s="212" t="str">
        <f>IFERROR(VLOOKUP(C61,ITEM_MASTER!$A:$C,2,0),"?")</f>
        <v>ccv</v>
      </c>
      <c r="E61" s="212" t="str">
        <f>IFERROR(VLOOKUP(C61,ITEM_MASTER!$A:$C,3,0),"?")</f>
        <v>mat_body</v>
      </c>
      <c r="F61" s="212" t="str">
        <f>IFERROR(VLOOKUP(C61,ITEM_MASTER!$A:$D,4,0),"?")</f>
        <v>Glossy Paint #1</v>
      </c>
      <c r="G61" s="212" t="str">
        <f>IFERROR(VLOOKUP($C61,ITEM_MASTER!$A:$I,5,0),"?")</f>
        <v>Sơn Bóng #1</v>
      </c>
      <c r="H61" s="213">
        <v>1.0</v>
      </c>
      <c r="I61" s="212" t="str">
        <f>IFERROR(VLOOKUP($C61,ITEM_MASTER!$A:$N,7,0),"?")</f>
        <v>Common</v>
      </c>
      <c r="J61" s="212" t="str">
        <f>IFERROR(VLOOKUP($C61,ITEM_MASTER!$A:$N,8,0),"?")</f>
        <v>unreleased</v>
      </c>
      <c r="K61" s="212" t="str">
        <f>IFERROR(VLOOKUP($C61,ITEM_MASTER!$A:$N,9,0),"?")</f>
        <v>Post-Race Rewards</v>
      </c>
      <c r="L61" s="210"/>
    </row>
    <row r="62">
      <c r="A62" s="210" t="s">
        <v>85</v>
      </c>
      <c r="B62" s="210" t="s">
        <v>86</v>
      </c>
      <c r="C62" s="211" t="s">
        <v>305</v>
      </c>
      <c r="D62" s="212" t="str">
        <f>IFERROR(VLOOKUP(C62,ITEM_MASTER!$A:$C,2,0),"?")</f>
        <v>ccv</v>
      </c>
      <c r="E62" s="212" t="str">
        <f>IFERROR(VLOOKUP(C62,ITEM_MASTER!$A:$C,3,0),"?")</f>
        <v>mat_body</v>
      </c>
      <c r="F62" s="212" t="str">
        <f>IFERROR(VLOOKUP(C62,ITEM_MASTER!$A:$D,4,0),"?")</f>
        <v>Glossy Paint #2</v>
      </c>
      <c r="G62" s="212" t="str">
        <f>IFERROR(VLOOKUP($C62,ITEM_MASTER!$A:$I,5,0),"?")</f>
        <v>Sơn Bóng #2</v>
      </c>
      <c r="H62" s="213">
        <v>1.0</v>
      </c>
      <c r="I62" s="212" t="str">
        <f>IFERROR(VLOOKUP($C62,ITEM_MASTER!$A:$N,7,0),"?")</f>
        <v>Common</v>
      </c>
      <c r="J62" s="212" t="str">
        <f>IFERROR(VLOOKUP($C62,ITEM_MASTER!$A:$N,8,0),"?")</f>
        <v>unreleased</v>
      </c>
      <c r="K62" s="212" t="str">
        <f>IFERROR(VLOOKUP($C62,ITEM_MASTER!$A:$N,9,0),"?")</f>
        <v>Post-Race Rewards</v>
      </c>
      <c r="L62" s="210"/>
    </row>
    <row r="63">
      <c r="A63" s="210" t="s">
        <v>85</v>
      </c>
      <c r="B63" s="210" t="s">
        <v>86</v>
      </c>
      <c r="C63" s="211" t="s">
        <v>308</v>
      </c>
      <c r="D63" s="212" t="str">
        <f>IFERROR(VLOOKUP(C63,ITEM_MASTER!$A:$C,2,0),"?")</f>
        <v>ccv</v>
      </c>
      <c r="E63" s="212" t="str">
        <f>IFERROR(VLOOKUP(C63,ITEM_MASTER!$A:$C,3,0),"?")</f>
        <v>mat_body</v>
      </c>
      <c r="F63" s="212" t="str">
        <f>IFERROR(VLOOKUP(C63,ITEM_MASTER!$A:$D,4,0),"?")</f>
        <v>Glossy Paint #3</v>
      </c>
      <c r="G63" s="212" t="str">
        <f>IFERROR(VLOOKUP($C63,ITEM_MASTER!$A:$I,5,0),"?")</f>
        <v>Sơn Bóng #3</v>
      </c>
      <c r="H63" s="213">
        <v>1.0</v>
      </c>
      <c r="I63" s="212" t="str">
        <f>IFERROR(VLOOKUP($C63,ITEM_MASTER!$A:$N,7,0),"?")</f>
        <v>Common</v>
      </c>
      <c r="J63" s="212" t="str">
        <f>IFERROR(VLOOKUP($C63,ITEM_MASTER!$A:$N,8,0),"?")</f>
        <v>unreleased</v>
      </c>
      <c r="K63" s="212" t="str">
        <f>IFERROR(VLOOKUP($C63,ITEM_MASTER!$A:$N,9,0),"?")</f>
        <v>Post-Race Rewards</v>
      </c>
      <c r="L63" s="210"/>
    </row>
    <row r="64">
      <c r="A64" s="210" t="s">
        <v>85</v>
      </c>
      <c r="B64" s="210" t="s">
        <v>86</v>
      </c>
      <c r="C64" s="211" t="s">
        <v>311</v>
      </c>
      <c r="D64" s="212" t="str">
        <f>IFERROR(VLOOKUP(C64,ITEM_MASTER!$A:$C,2,0),"?")</f>
        <v>ccv</v>
      </c>
      <c r="E64" s="212" t="str">
        <f>IFERROR(VLOOKUP(C64,ITEM_MASTER!$A:$C,3,0),"?")</f>
        <v>mat_body</v>
      </c>
      <c r="F64" s="212" t="str">
        <f>IFERROR(VLOOKUP(C64,ITEM_MASTER!$A:$D,4,0),"?")</f>
        <v>Matte Paint #1</v>
      </c>
      <c r="G64" s="212" t="str">
        <f>IFERROR(VLOOKUP($C64,ITEM_MASTER!$A:$I,5,0),"?")</f>
        <v>Sơn Nhẵn #1</v>
      </c>
      <c r="H64" s="213">
        <v>1.0</v>
      </c>
      <c r="I64" s="212" t="str">
        <f>IFERROR(VLOOKUP($C64,ITEM_MASTER!$A:$N,7,0),"?")</f>
        <v>Common</v>
      </c>
      <c r="J64" s="212" t="str">
        <f>IFERROR(VLOOKUP($C64,ITEM_MASTER!$A:$N,8,0),"?")</f>
        <v>unreleased</v>
      </c>
      <c r="K64" s="212" t="str">
        <f>IFERROR(VLOOKUP($C64,ITEM_MASTER!$A:$N,9,0),"?")</f>
        <v>Post-Race Rewards</v>
      </c>
      <c r="L64" s="210"/>
    </row>
    <row r="65">
      <c r="A65" s="210" t="s">
        <v>85</v>
      </c>
      <c r="B65" s="210" t="s">
        <v>86</v>
      </c>
      <c r="C65" s="211" t="s">
        <v>314</v>
      </c>
      <c r="D65" s="212" t="str">
        <f>IFERROR(VLOOKUP(C65,ITEM_MASTER!$A:$C,2,0),"?")</f>
        <v>ccv</v>
      </c>
      <c r="E65" s="212" t="str">
        <f>IFERROR(VLOOKUP(C65,ITEM_MASTER!$A:$C,3,0),"?")</f>
        <v>mat_body</v>
      </c>
      <c r="F65" s="212" t="str">
        <f>IFERROR(VLOOKUP(C65,ITEM_MASTER!$A:$D,4,0),"?")</f>
        <v>Matte Paint #2</v>
      </c>
      <c r="G65" s="212" t="str">
        <f>IFERROR(VLOOKUP($C65,ITEM_MASTER!$A:$I,5,0),"?")</f>
        <v>Sơn Nhẵn #2</v>
      </c>
      <c r="H65" s="213">
        <v>1.0</v>
      </c>
      <c r="I65" s="212" t="str">
        <f>IFERROR(VLOOKUP($C65,ITEM_MASTER!$A:$N,7,0),"?")</f>
        <v>Common</v>
      </c>
      <c r="J65" s="212" t="str">
        <f>IFERROR(VLOOKUP($C65,ITEM_MASTER!$A:$N,8,0),"?")</f>
        <v>unreleased</v>
      </c>
      <c r="K65" s="212" t="str">
        <f>IFERROR(VLOOKUP($C65,ITEM_MASTER!$A:$N,9,0),"?")</f>
        <v>Post-Race Rewards</v>
      </c>
      <c r="L65" s="210"/>
    </row>
    <row r="66">
      <c r="A66" s="210" t="s">
        <v>85</v>
      </c>
      <c r="B66" s="210" t="s">
        <v>86</v>
      </c>
      <c r="C66" s="211" t="s">
        <v>317</v>
      </c>
      <c r="D66" s="212" t="str">
        <f>IFERROR(VLOOKUP(C66,ITEM_MASTER!$A:$C,2,0),"?")</f>
        <v>ccv</v>
      </c>
      <c r="E66" s="212" t="str">
        <f>IFERROR(VLOOKUP(C66,ITEM_MASTER!$A:$C,3,0),"?")</f>
        <v>mat_body</v>
      </c>
      <c r="F66" s="212" t="str">
        <f>IFERROR(VLOOKUP(C66,ITEM_MASTER!$A:$D,4,0),"?")</f>
        <v>Matte Paint #3</v>
      </c>
      <c r="G66" s="212" t="str">
        <f>IFERROR(VLOOKUP($C66,ITEM_MASTER!$A:$I,5,0),"?")</f>
        <v>Sơn Nhẵn #3</v>
      </c>
      <c r="H66" s="213">
        <v>1.0</v>
      </c>
      <c r="I66" s="212" t="str">
        <f>IFERROR(VLOOKUP($C66,ITEM_MASTER!$A:$N,7,0),"?")</f>
        <v>Common</v>
      </c>
      <c r="J66" s="212" t="str">
        <f>IFERROR(VLOOKUP($C66,ITEM_MASTER!$A:$N,8,0),"?")</f>
        <v>unreleased</v>
      </c>
      <c r="K66" s="212" t="str">
        <f>IFERROR(VLOOKUP($C66,ITEM_MASTER!$A:$N,9,0),"?")</f>
        <v>Post-Race Rewards</v>
      </c>
      <c r="L66" s="210"/>
    </row>
    <row r="67">
      <c r="A67" s="210" t="s">
        <v>85</v>
      </c>
      <c r="B67" s="210" t="s">
        <v>86</v>
      </c>
      <c r="C67" s="211" t="s">
        <v>320</v>
      </c>
      <c r="D67" s="212" t="str">
        <f>IFERROR(VLOOKUP(C67,ITEM_MASTER!$A:$C,2,0),"?")</f>
        <v>ccv</v>
      </c>
      <c r="E67" s="212" t="str">
        <f>IFERROR(VLOOKUP(C67,ITEM_MASTER!$A:$C,3,0),"?")</f>
        <v>mat_body</v>
      </c>
      <c r="F67" s="212" t="str">
        <f>IFERROR(VLOOKUP(C67,ITEM_MASTER!$A:$D,4,0),"?")</f>
        <v>Pearlescent Paint #1</v>
      </c>
      <c r="G67" s="212" t="str">
        <f>IFERROR(VLOOKUP($C67,ITEM_MASTER!$A:$I,5,0),"?")</f>
        <v>Sơn Pearlescent #1</v>
      </c>
      <c r="H67" s="213">
        <v>1.0</v>
      </c>
      <c r="I67" s="212" t="str">
        <f>IFERROR(VLOOKUP($C67,ITEM_MASTER!$A:$N,7,0),"?")</f>
        <v>Common</v>
      </c>
      <c r="J67" s="212" t="str">
        <f>IFERROR(VLOOKUP($C67,ITEM_MASTER!$A:$N,8,0),"?")</f>
        <v>unreleased</v>
      </c>
      <c r="K67" s="212" t="str">
        <f>IFERROR(VLOOKUP($C67,ITEM_MASTER!$A:$N,9,0),"?")</f>
        <v>Post-Race Rewards</v>
      </c>
      <c r="L67" s="210"/>
    </row>
    <row r="68">
      <c r="A68" s="210" t="s">
        <v>85</v>
      </c>
      <c r="B68" s="210" t="s">
        <v>86</v>
      </c>
      <c r="C68" s="211" t="s">
        <v>323</v>
      </c>
      <c r="D68" s="212" t="str">
        <f>IFERROR(VLOOKUP(C68,ITEM_MASTER!$A:$C,2,0),"?")</f>
        <v>ccv</v>
      </c>
      <c r="E68" s="212" t="str">
        <f>IFERROR(VLOOKUP(C68,ITEM_MASTER!$A:$C,3,0),"?")</f>
        <v>mat_body</v>
      </c>
      <c r="F68" s="212" t="str">
        <f>IFERROR(VLOOKUP(C68,ITEM_MASTER!$A:$D,4,0),"?")</f>
        <v>Pearlescent Paint #2</v>
      </c>
      <c r="G68" s="212" t="str">
        <f>IFERROR(VLOOKUP($C68,ITEM_MASTER!$A:$I,5,0),"?")</f>
        <v>Sơn Pearlescent #2</v>
      </c>
      <c r="H68" s="213">
        <v>1.0</v>
      </c>
      <c r="I68" s="212" t="str">
        <f>IFERROR(VLOOKUP($C68,ITEM_MASTER!$A:$N,7,0),"?")</f>
        <v>Common</v>
      </c>
      <c r="J68" s="212" t="str">
        <f>IFERROR(VLOOKUP($C68,ITEM_MASTER!$A:$N,8,0),"?")</f>
        <v>unreleased</v>
      </c>
      <c r="K68" s="212" t="str">
        <f>IFERROR(VLOOKUP($C68,ITEM_MASTER!$A:$N,9,0),"?")</f>
        <v>Post-Race Rewards</v>
      </c>
      <c r="L68" s="210"/>
    </row>
    <row r="69">
      <c r="A69" s="210" t="s">
        <v>85</v>
      </c>
      <c r="B69" s="210" t="s">
        <v>86</v>
      </c>
      <c r="C69" s="211" t="s">
        <v>326</v>
      </c>
      <c r="D69" s="212" t="str">
        <f>IFERROR(VLOOKUP(C69,ITEM_MASTER!$A:$C,2,0),"?")</f>
        <v>ccv</v>
      </c>
      <c r="E69" s="212" t="str">
        <f>IFERROR(VLOOKUP(C69,ITEM_MASTER!$A:$C,3,0),"?")</f>
        <v>mat_body</v>
      </c>
      <c r="F69" s="212" t="str">
        <f>IFERROR(VLOOKUP(C69,ITEM_MASTER!$A:$D,4,0),"?")</f>
        <v>Pearlescent Paint #3</v>
      </c>
      <c r="G69" s="212" t="str">
        <f>IFERROR(VLOOKUP($C69,ITEM_MASTER!$A:$I,5,0),"?")</f>
        <v>Sơn Pearlescent #3</v>
      </c>
      <c r="H69" s="213">
        <v>1.0</v>
      </c>
      <c r="I69" s="212" t="str">
        <f>IFERROR(VLOOKUP($C69,ITEM_MASTER!$A:$N,7,0),"?")</f>
        <v>Common</v>
      </c>
      <c r="J69" s="212" t="str">
        <f>IFERROR(VLOOKUP($C69,ITEM_MASTER!$A:$N,8,0),"?")</f>
        <v>unreleased</v>
      </c>
      <c r="K69" s="212" t="str">
        <f>IFERROR(VLOOKUP($C69,ITEM_MASTER!$A:$N,9,0),"?")</f>
        <v>Post-Race Rewards</v>
      </c>
      <c r="L69" s="210"/>
    </row>
    <row r="70">
      <c r="A70" s="210" t="s">
        <v>85</v>
      </c>
      <c r="B70" s="210" t="s">
        <v>86</v>
      </c>
      <c r="C70" s="211" t="s">
        <v>329</v>
      </c>
      <c r="D70" s="212" t="str">
        <f>IFERROR(VLOOKUP(C70,ITEM_MASTER!$A:$C,2,0),"?")</f>
        <v>ccv</v>
      </c>
      <c r="E70" s="212" t="str">
        <f>IFERROR(VLOOKUP(C70,ITEM_MASTER!$A:$C,3,0),"?")</f>
        <v>mat_body</v>
      </c>
      <c r="F70" s="212" t="str">
        <f>IFERROR(VLOOKUP(C70,ITEM_MASTER!$A:$D,4,0),"?")</f>
        <v>Chameleon Paint #1</v>
      </c>
      <c r="G70" s="212" t="str">
        <f>IFERROR(VLOOKUP($C70,ITEM_MASTER!$A:$I,5,0),"?")</f>
        <v>Sơn Chameleon #1</v>
      </c>
      <c r="H70" s="213">
        <v>1.0</v>
      </c>
      <c r="I70" s="212" t="str">
        <f>IFERROR(VLOOKUP($C70,ITEM_MASTER!$A:$N,7,0),"?")</f>
        <v>UnCommon</v>
      </c>
      <c r="J70" s="212" t="str">
        <f>IFERROR(VLOOKUP($C70,ITEM_MASTER!$A:$N,8,0),"?")</f>
        <v>unreleased</v>
      </c>
      <c r="K70" s="212" t="str">
        <f>IFERROR(VLOOKUP($C70,ITEM_MASTER!$A:$N,9,0),"?")</f>
        <v>Post-Race Rewards</v>
      </c>
      <c r="L70" s="210"/>
    </row>
    <row r="71">
      <c r="A71" s="210" t="s">
        <v>85</v>
      </c>
      <c r="B71" s="210" t="s">
        <v>86</v>
      </c>
      <c r="C71" s="211" t="s">
        <v>332</v>
      </c>
      <c r="D71" s="212" t="str">
        <f>IFERROR(VLOOKUP(C71,ITEM_MASTER!$A:$C,2,0),"?")</f>
        <v>ccv</v>
      </c>
      <c r="E71" s="212" t="str">
        <f>IFERROR(VLOOKUP(C71,ITEM_MASTER!$A:$C,3,0),"?")</f>
        <v>mat_body</v>
      </c>
      <c r="F71" s="212" t="str">
        <f>IFERROR(VLOOKUP(C71,ITEM_MASTER!$A:$D,4,0),"?")</f>
        <v>Chameleon Paint #2</v>
      </c>
      <c r="G71" s="212" t="str">
        <f>IFERROR(VLOOKUP($C71,ITEM_MASTER!$A:$I,5,0),"?")</f>
        <v>Sơn Chameleon #2</v>
      </c>
      <c r="H71" s="213">
        <v>1.0</v>
      </c>
      <c r="I71" s="212" t="str">
        <f>IFERROR(VLOOKUP($C71,ITEM_MASTER!$A:$N,7,0),"?")</f>
        <v>UnCommon</v>
      </c>
      <c r="J71" s="212" t="str">
        <f>IFERROR(VLOOKUP($C71,ITEM_MASTER!$A:$N,8,0),"?")</f>
        <v>unreleased</v>
      </c>
      <c r="K71" s="212" t="str">
        <f>IFERROR(VLOOKUP($C71,ITEM_MASTER!$A:$N,9,0),"?")</f>
        <v>Post-Race Rewards</v>
      </c>
      <c r="L71" s="210"/>
    </row>
    <row r="72">
      <c r="A72" s="210" t="s">
        <v>85</v>
      </c>
      <c r="B72" s="210" t="s">
        <v>86</v>
      </c>
      <c r="C72" s="211" t="s">
        <v>335</v>
      </c>
      <c r="D72" s="212" t="str">
        <f>IFERROR(VLOOKUP(C72,ITEM_MASTER!$A:$C,2,0),"?")</f>
        <v>ccv</v>
      </c>
      <c r="E72" s="212" t="str">
        <f>IFERROR(VLOOKUP(C72,ITEM_MASTER!$A:$C,3,0),"?")</f>
        <v>mat_body</v>
      </c>
      <c r="F72" s="212" t="str">
        <f>IFERROR(VLOOKUP(C72,ITEM_MASTER!$A:$D,4,0),"?")</f>
        <v>Chameleon Paint #3</v>
      </c>
      <c r="G72" s="212" t="str">
        <f>IFERROR(VLOOKUP($C72,ITEM_MASTER!$A:$I,5,0),"?")</f>
        <v>Sơn Chameleon #3</v>
      </c>
      <c r="H72" s="213">
        <v>1.0</v>
      </c>
      <c r="I72" s="212" t="str">
        <f>IFERROR(VLOOKUP($C72,ITEM_MASTER!$A:$N,7,0),"?")</f>
        <v>UnCommon</v>
      </c>
      <c r="J72" s="212" t="str">
        <f>IFERROR(VLOOKUP($C72,ITEM_MASTER!$A:$N,8,0),"?")</f>
        <v>unreleased</v>
      </c>
      <c r="K72" s="212" t="str">
        <f>IFERROR(VLOOKUP($C72,ITEM_MASTER!$A:$N,9,0),"?")</f>
        <v>Post-Race Rewards</v>
      </c>
      <c r="L72" s="210"/>
    </row>
    <row r="73">
      <c r="A73" s="210" t="s">
        <v>85</v>
      </c>
      <c r="B73" s="210" t="s">
        <v>86</v>
      </c>
      <c r="C73" s="211" t="s">
        <v>338</v>
      </c>
      <c r="D73" s="212" t="str">
        <f>IFERROR(VLOOKUP(C73,ITEM_MASTER!$A:$C,2,0),"?")</f>
        <v>ccv</v>
      </c>
      <c r="E73" s="212" t="str">
        <f>IFERROR(VLOOKUP(C73,ITEM_MASTER!$A:$C,3,0),"?")</f>
        <v>mat_body</v>
      </c>
      <c r="F73" s="212" t="str">
        <f>IFERROR(VLOOKUP(C73,ITEM_MASTER!$A:$D,4,0),"?")</f>
        <v>Metallic Paint #1</v>
      </c>
      <c r="G73" s="212" t="str">
        <f>IFERROR(VLOOKUP($C73,ITEM_MASTER!$A:$I,5,0),"?")</f>
        <v>Sơn Kim Loại #1</v>
      </c>
      <c r="H73" s="213">
        <v>1.0</v>
      </c>
      <c r="I73" s="212" t="str">
        <f>IFERROR(VLOOKUP($C73,ITEM_MASTER!$A:$N,7,0),"?")</f>
        <v>Common</v>
      </c>
      <c r="J73" s="212" t="str">
        <f>IFERROR(VLOOKUP($C73,ITEM_MASTER!$A:$N,8,0),"?")</f>
        <v>unreleased</v>
      </c>
      <c r="K73" s="212" t="str">
        <f>IFERROR(VLOOKUP($C73,ITEM_MASTER!$A:$N,9,0),"?")</f>
        <v>Post-Race Rewards</v>
      </c>
      <c r="L73" s="210"/>
    </row>
    <row r="74">
      <c r="A74" s="210" t="s">
        <v>85</v>
      </c>
      <c r="B74" s="210" t="s">
        <v>86</v>
      </c>
      <c r="C74" s="211" t="s">
        <v>339</v>
      </c>
      <c r="D74" s="212" t="str">
        <f>IFERROR(VLOOKUP(C74,ITEM_MASTER!$A:$C,2,0),"?")</f>
        <v>ccv</v>
      </c>
      <c r="E74" s="212" t="str">
        <f>IFERROR(VLOOKUP(C74,ITEM_MASTER!$A:$C,3,0),"?")</f>
        <v>mat_body</v>
      </c>
      <c r="F74" s="212" t="str">
        <f>IFERROR(VLOOKUP(C74,ITEM_MASTER!$A:$D,4,0),"?")</f>
        <v>Metallic Paint #2</v>
      </c>
      <c r="G74" s="212" t="str">
        <f>IFERROR(VLOOKUP($C74,ITEM_MASTER!$A:$I,5,0),"?")</f>
        <v>Sơn Kim Loại #2</v>
      </c>
      <c r="H74" s="213">
        <v>1.0</v>
      </c>
      <c r="I74" s="212" t="str">
        <f>IFERROR(VLOOKUP($C74,ITEM_MASTER!$A:$N,7,0),"?")</f>
        <v>Common</v>
      </c>
      <c r="J74" s="212" t="str">
        <f>IFERROR(VLOOKUP($C74,ITEM_MASTER!$A:$N,8,0),"?")</f>
        <v>unreleased</v>
      </c>
      <c r="K74" s="212" t="str">
        <f>IFERROR(VLOOKUP($C74,ITEM_MASTER!$A:$N,9,0),"?")</f>
        <v>Post-Race Rewards</v>
      </c>
      <c r="L74" s="210"/>
    </row>
    <row r="75" ht="15.75" customHeight="1">
      <c r="A75" s="210" t="s">
        <v>85</v>
      </c>
      <c r="B75" s="210" t="s">
        <v>86</v>
      </c>
      <c r="C75" s="211" t="s">
        <v>340</v>
      </c>
      <c r="D75" s="212" t="str">
        <f>IFERROR(VLOOKUP(C75,ITEM_MASTER!$A:$C,2,0),"?")</f>
        <v>ccv</v>
      </c>
      <c r="E75" s="212" t="str">
        <f>IFERROR(VLOOKUP(C75,ITEM_MASTER!$A:$C,3,0),"?")</f>
        <v>mat_body</v>
      </c>
      <c r="F75" s="212" t="str">
        <f>IFERROR(VLOOKUP(C75,ITEM_MASTER!$A:$D,4,0),"?")</f>
        <v>Metallic Paint #3</v>
      </c>
      <c r="G75" s="212" t="str">
        <f>IFERROR(VLOOKUP($C75,ITEM_MASTER!$A:$I,5,0),"?")</f>
        <v>Sơn Kim Loại #3</v>
      </c>
      <c r="H75" s="213">
        <v>1.0</v>
      </c>
      <c r="I75" s="212" t="str">
        <f>IFERROR(VLOOKUP($C75,ITEM_MASTER!$A:$N,7,0),"?")</f>
        <v>Common</v>
      </c>
      <c r="J75" s="212" t="str">
        <f>IFERROR(VLOOKUP($C75,ITEM_MASTER!$A:$N,8,0),"?")</f>
        <v>unreleased</v>
      </c>
      <c r="K75" s="212" t="str">
        <f>IFERROR(VLOOKUP($C75,ITEM_MASTER!$A:$N,9,0),"?")</f>
        <v>Post-Race Rewards</v>
      </c>
      <c r="L75" s="210"/>
    </row>
    <row r="76" ht="15.75" customHeight="1">
      <c r="A76" s="210" t="s">
        <v>85</v>
      </c>
      <c r="B76" s="210" t="s">
        <v>86</v>
      </c>
      <c r="C76" s="211" t="s">
        <v>341</v>
      </c>
      <c r="D76" s="212" t="str">
        <f>IFERROR(VLOOKUP(C76,ITEM_MASTER!$A:$C,2,0),"?")</f>
        <v>ccv</v>
      </c>
      <c r="E76" s="212" t="str">
        <f>IFERROR(VLOOKUP(C76,ITEM_MASTER!$A:$C,3,0),"?")</f>
        <v>mat_body</v>
      </c>
      <c r="F76" s="212" t="str">
        <f>IFERROR(VLOOKUP(C76,ITEM_MASTER!$A:$D,4,0),"?")</f>
        <v>Glossy Paint #1</v>
      </c>
      <c r="G76" s="212" t="str">
        <f>IFERROR(VLOOKUP($C76,ITEM_MASTER!$A:$I,5,0),"?")</f>
        <v>Sơn Bóng #1</v>
      </c>
      <c r="H76" s="213">
        <v>1.0</v>
      </c>
      <c r="I76" s="212" t="str">
        <f>IFERROR(VLOOKUP($C76,ITEM_MASTER!$A:$N,7,0),"?")</f>
        <v>Common</v>
      </c>
      <c r="J76" s="212" t="str">
        <f>IFERROR(VLOOKUP($C76,ITEM_MASTER!$A:$N,8,0),"?")</f>
        <v>unreleased</v>
      </c>
      <c r="K76" s="212" t="str">
        <f>IFERROR(VLOOKUP($C76,ITEM_MASTER!$A:$N,9,0),"?")</f>
        <v>Post-Race Rewards</v>
      </c>
      <c r="L76" s="210"/>
    </row>
    <row r="77" ht="15.75" customHeight="1">
      <c r="A77" s="210" t="s">
        <v>85</v>
      </c>
      <c r="B77" s="210" t="s">
        <v>86</v>
      </c>
      <c r="C77" s="211" t="s">
        <v>342</v>
      </c>
      <c r="D77" s="212" t="str">
        <f>IFERROR(VLOOKUP(C77,ITEM_MASTER!$A:$C,2,0),"?")</f>
        <v>ccv</v>
      </c>
      <c r="E77" s="212" t="str">
        <f>IFERROR(VLOOKUP(C77,ITEM_MASTER!$A:$C,3,0),"?")</f>
        <v>mat_body</v>
      </c>
      <c r="F77" s="212" t="str">
        <f>IFERROR(VLOOKUP(C77,ITEM_MASTER!$A:$D,4,0),"?")</f>
        <v>Glossy Paint #2</v>
      </c>
      <c r="G77" s="212" t="str">
        <f>IFERROR(VLOOKUP($C77,ITEM_MASTER!$A:$I,5,0),"?")</f>
        <v>Sơn Bóng #2</v>
      </c>
      <c r="H77" s="213">
        <v>1.0</v>
      </c>
      <c r="I77" s="212" t="str">
        <f>IFERROR(VLOOKUP($C77,ITEM_MASTER!$A:$N,7,0),"?")</f>
        <v>Common</v>
      </c>
      <c r="J77" s="212" t="str">
        <f>IFERROR(VLOOKUP($C77,ITEM_MASTER!$A:$N,8,0),"?")</f>
        <v>unreleased</v>
      </c>
      <c r="K77" s="212" t="str">
        <f>IFERROR(VLOOKUP($C77,ITEM_MASTER!$A:$N,9,0),"?")</f>
        <v>Post-Race Rewards</v>
      </c>
      <c r="L77" s="210"/>
    </row>
    <row r="78" ht="15.75" customHeight="1">
      <c r="A78" s="210" t="s">
        <v>85</v>
      </c>
      <c r="B78" s="210" t="s">
        <v>86</v>
      </c>
      <c r="C78" s="211" t="s">
        <v>343</v>
      </c>
      <c r="D78" s="212" t="str">
        <f>IFERROR(VLOOKUP(C78,ITEM_MASTER!$A:$C,2,0),"?")</f>
        <v>ccv</v>
      </c>
      <c r="E78" s="212" t="str">
        <f>IFERROR(VLOOKUP(C78,ITEM_MASTER!$A:$C,3,0),"?")</f>
        <v>mat_body</v>
      </c>
      <c r="F78" s="212" t="str">
        <f>IFERROR(VLOOKUP(C78,ITEM_MASTER!$A:$D,4,0),"?")</f>
        <v>Glossy Paint #3</v>
      </c>
      <c r="G78" s="212" t="str">
        <f>IFERROR(VLOOKUP($C78,ITEM_MASTER!$A:$I,5,0),"?")</f>
        <v>Sơn Bóng #3</v>
      </c>
      <c r="H78" s="213">
        <v>1.0</v>
      </c>
      <c r="I78" s="212" t="str">
        <f>IFERROR(VLOOKUP($C78,ITEM_MASTER!$A:$N,7,0),"?")</f>
        <v>Common</v>
      </c>
      <c r="J78" s="212" t="str">
        <f>IFERROR(VLOOKUP($C78,ITEM_MASTER!$A:$N,8,0),"?")</f>
        <v>unreleased</v>
      </c>
      <c r="K78" s="212" t="str">
        <f>IFERROR(VLOOKUP($C78,ITEM_MASTER!$A:$N,9,0),"?")</f>
        <v>Post-Race Rewards</v>
      </c>
      <c r="L78" s="210"/>
    </row>
    <row r="79" ht="15.75" customHeight="1">
      <c r="A79" s="210" t="s">
        <v>85</v>
      </c>
      <c r="B79" s="210" t="s">
        <v>86</v>
      </c>
      <c r="C79" s="211" t="s">
        <v>344</v>
      </c>
      <c r="D79" s="212" t="str">
        <f>IFERROR(VLOOKUP(C79,ITEM_MASTER!$A:$C,2,0),"?")</f>
        <v>ccv</v>
      </c>
      <c r="E79" s="212" t="str">
        <f>IFERROR(VLOOKUP(C79,ITEM_MASTER!$A:$C,3,0),"?")</f>
        <v>mat_body</v>
      </c>
      <c r="F79" s="212" t="str">
        <f>IFERROR(VLOOKUP(C79,ITEM_MASTER!$A:$D,4,0),"?")</f>
        <v>Matte Paint #1</v>
      </c>
      <c r="G79" s="212" t="str">
        <f>IFERROR(VLOOKUP($C79,ITEM_MASTER!$A:$I,5,0),"?")</f>
        <v>Sơn Nhẵn #1</v>
      </c>
      <c r="H79" s="213">
        <v>1.0</v>
      </c>
      <c r="I79" s="212" t="str">
        <f>IFERROR(VLOOKUP($C79,ITEM_MASTER!$A:$N,7,0),"?")</f>
        <v>Common</v>
      </c>
      <c r="J79" s="212" t="str">
        <f>IFERROR(VLOOKUP($C79,ITEM_MASTER!$A:$N,8,0),"?")</f>
        <v>unreleased</v>
      </c>
      <c r="K79" s="212" t="str">
        <f>IFERROR(VLOOKUP($C79,ITEM_MASTER!$A:$N,9,0),"?")</f>
        <v>Post-Race Rewards</v>
      </c>
      <c r="L79" s="210"/>
    </row>
    <row r="80" ht="15.75" customHeight="1">
      <c r="A80" s="210" t="s">
        <v>85</v>
      </c>
      <c r="B80" s="210" t="s">
        <v>86</v>
      </c>
      <c r="C80" s="211" t="s">
        <v>345</v>
      </c>
      <c r="D80" s="212" t="str">
        <f>IFERROR(VLOOKUP(C80,ITEM_MASTER!$A:$C,2,0),"?")</f>
        <v>ccv</v>
      </c>
      <c r="E80" s="212" t="str">
        <f>IFERROR(VLOOKUP(C80,ITEM_MASTER!$A:$C,3,0),"?")</f>
        <v>mat_body</v>
      </c>
      <c r="F80" s="212" t="str">
        <f>IFERROR(VLOOKUP(C80,ITEM_MASTER!$A:$D,4,0),"?")</f>
        <v>Matte Paint #2</v>
      </c>
      <c r="G80" s="212" t="str">
        <f>IFERROR(VLOOKUP($C80,ITEM_MASTER!$A:$I,5,0),"?")</f>
        <v>Sơn Nhẵn #2</v>
      </c>
      <c r="H80" s="213">
        <v>1.0</v>
      </c>
      <c r="I80" s="212" t="str">
        <f>IFERROR(VLOOKUP($C80,ITEM_MASTER!$A:$N,7,0),"?")</f>
        <v>Common</v>
      </c>
      <c r="J80" s="212" t="str">
        <f>IFERROR(VLOOKUP($C80,ITEM_MASTER!$A:$N,8,0),"?")</f>
        <v>unreleased</v>
      </c>
      <c r="K80" s="212" t="str">
        <f>IFERROR(VLOOKUP($C80,ITEM_MASTER!$A:$N,9,0),"?")</f>
        <v>Post-Race Rewards</v>
      </c>
      <c r="L80" s="210"/>
    </row>
    <row r="81" ht="15.75" customHeight="1">
      <c r="A81" s="210" t="s">
        <v>85</v>
      </c>
      <c r="B81" s="210" t="s">
        <v>86</v>
      </c>
      <c r="C81" s="211" t="s">
        <v>346</v>
      </c>
      <c r="D81" s="212" t="str">
        <f>IFERROR(VLOOKUP(C81,ITEM_MASTER!$A:$C,2,0),"?")</f>
        <v>ccv</v>
      </c>
      <c r="E81" s="212" t="str">
        <f>IFERROR(VLOOKUP(C81,ITEM_MASTER!$A:$C,3,0),"?")</f>
        <v>mat_body</v>
      </c>
      <c r="F81" s="212" t="str">
        <f>IFERROR(VLOOKUP(C81,ITEM_MASTER!$A:$D,4,0),"?")</f>
        <v>Matte Paint #3</v>
      </c>
      <c r="G81" s="212" t="str">
        <f>IFERROR(VLOOKUP($C81,ITEM_MASTER!$A:$I,5,0),"?")</f>
        <v>Sơn Nhẵn #3</v>
      </c>
      <c r="H81" s="213">
        <v>1.0</v>
      </c>
      <c r="I81" s="212" t="str">
        <f>IFERROR(VLOOKUP($C81,ITEM_MASTER!$A:$N,7,0),"?")</f>
        <v>Common</v>
      </c>
      <c r="J81" s="212" t="str">
        <f>IFERROR(VLOOKUP($C81,ITEM_MASTER!$A:$N,8,0),"?")</f>
        <v>unreleased</v>
      </c>
      <c r="K81" s="212" t="str">
        <f>IFERROR(VLOOKUP($C81,ITEM_MASTER!$A:$N,9,0),"?")</f>
        <v>Post-Race Rewards</v>
      </c>
      <c r="L81" s="210"/>
    </row>
    <row r="82" ht="15.75" customHeight="1">
      <c r="A82" s="210" t="s">
        <v>85</v>
      </c>
      <c r="B82" s="210" t="s">
        <v>86</v>
      </c>
      <c r="C82" s="211" t="s">
        <v>347</v>
      </c>
      <c r="D82" s="212" t="str">
        <f>IFERROR(VLOOKUP(C82,ITEM_MASTER!$A:$C,2,0),"?")</f>
        <v>ccv</v>
      </c>
      <c r="E82" s="212" t="str">
        <f>IFERROR(VLOOKUP(C82,ITEM_MASTER!$A:$C,3,0),"?")</f>
        <v>mat_body</v>
      </c>
      <c r="F82" s="212" t="str">
        <f>IFERROR(VLOOKUP(C82,ITEM_MASTER!$A:$D,4,0),"?")</f>
        <v>Pearlescent Paint #1</v>
      </c>
      <c r="G82" s="212" t="str">
        <f>IFERROR(VLOOKUP($C82,ITEM_MASTER!$A:$I,5,0),"?")</f>
        <v>Sơn Pearlescent #1</v>
      </c>
      <c r="H82" s="213">
        <v>1.0</v>
      </c>
      <c r="I82" s="212" t="str">
        <f>IFERROR(VLOOKUP($C82,ITEM_MASTER!$A:$N,7,0),"?")</f>
        <v>Common</v>
      </c>
      <c r="J82" s="212" t="str">
        <f>IFERROR(VLOOKUP($C82,ITEM_MASTER!$A:$N,8,0),"?")</f>
        <v>unreleased</v>
      </c>
      <c r="K82" s="212" t="str">
        <f>IFERROR(VLOOKUP($C82,ITEM_MASTER!$A:$N,9,0),"?")</f>
        <v>Post-Race Rewards</v>
      </c>
      <c r="L82" s="210"/>
    </row>
    <row r="83" ht="15.75" customHeight="1">
      <c r="A83" s="210" t="s">
        <v>85</v>
      </c>
      <c r="B83" s="210" t="s">
        <v>86</v>
      </c>
      <c r="C83" s="211" t="s">
        <v>348</v>
      </c>
      <c r="D83" s="212" t="str">
        <f>IFERROR(VLOOKUP(C83,ITEM_MASTER!$A:$C,2,0),"?")</f>
        <v>ccv</v>
      </c>
      <c r="E83" s="212" t="str">
        <f>IFERROR(VLOOKUP(C83,ITEM_MASTER!$A:$C,3,0),"?")</f>
        <v>mat_body</v>
      </c>
      <c r="F83" s="212" t="str">
        <f>IFERROR(VLOOKUP(C83,ITEM_MASTER!$A:$D,4,0),"?")</f>
        <v>Pearlescent Paint #2</v>
      </c>
      <c r="G83" s="212" t="str">
        <f>IFERROR(VLOOKUP($C83,ITEM_MASTER!$A:$I,5,0),"?")</f>
        <v>Sơn Pearlescent #2</v>
      </c>
      <c r="H83" s="213">
        <v>1.0</v>
      </c>
      <c r="I83" s="212" t="str">
        <f>IFERROR(VLOOKUP($C83,ITEM_MASTER!$A:$N,7,0),"?")</f>
        <v>Common</v>
      </c>
      <c r="J83" s="212" t="str">
        <f>IFERROR(VLOOKUP($C83,ITEM_MASTER!$A:$N,8,0),"?")</f>
        <v>unreleased</v>
      </c>
      <c r="K83" s="212" t="str">
        <f>IFERROR(VLOOKUP($C83,ITEM_MASTER!$A:$N,9,0),"?")</f>
        <v>Post-Race Rewards</v>
      </c>
      <c r="L83" s="210"/>
    </row>
    <row r="84" ht="15.75" customHeight="1">
      <c r="A84" s="210" t="s">
        <v>85</v>
      </c>
      <c r="B84" s="210" t="s">
        <v>86</v>
      </c>
      <c r="C84" s="211" t="s">
        <v>349</v>
      </c>
      <c r="D84" s="212" t="str">
        <f>IFERROR(VLOOKUP(C84,ITEM_MASTER!$A:$C,2,0),"?")</f>
        <v>ccv</v>
      </c>
      <c r="E84" s="212" t="str">
        <f>IFERROR(VLOOKUP(C84,ITEM_MASTER!$A:$C,3,0),"?")</f>
        <v>mat_body</v>
      </c>
      <c r="F84" s="212" t="str">
        <f>IFERROR(VLOOKUP(C84,ITEM_MASTER!$A:$D,4,0),"?")</f>
        <v>Pearlescent Paint #3</v>
      </c>
      <c r="G84" s="212" t="str">
        <f>IFERROR(VLOOKUP($C84,ITEM_MASTER!$A:$I,5,0),"?")</f>
        <v>Sơn Pearlescent #3</v>
      </c>
      <c r="H84" s="213">
        <v>1.0</v>
      </c>
      <c r="I84" s="212" t="str">
        <f>IFERROR(VLOOKUP($C84,ITEM_MASTER!$A:$N,7,0),"?")</f>
        <v>Common</v>
      </c>
      <c r="J84" s="212" t="str">
        <f>IFERROR(VLOOKUP($C84,ITEM_MASTER!$A:$N,8,0),"?")</f>
        <v>unreleased</v>
      </c>
      <c r="K84" s="212" t="str">
        <f>IFERROR(VLOOKUP($C84,ITEM_MASTER!$A:$N,9,0),"?")</f>
        <v>Post-Race Rewards</v>
      </c>
      <c r="L84" s="210"/>
    </row>
    <row r="85" ht="15.75" customHeight="1">
      <c r="A85" s="210" t="s">
        <v>85</v>
      </c>
      <c r="B85" s="210" t="s">
        <v>86</v>
      </c>
      <c r="C85" s="211" t="s">
        <v>350</v>
      </c>
      <c r="D85" s="212" t="str">
        <f>IFERROR(VLOOKUP(C85,ITEM_MASTER!$A:$C,2,0),"?")</f>
        <v>ccv</v>
      </c>
      <c r="E85" s="212" t="str">
        <f>IFERROR(VLOOKUP(C85,ITEM_MASTER!$A:$C,3,0),"?")</f>
        <v>mat_body</v>
      </c>
      <c r="F85" s="212" t="str">
        <f>IFERROR(VLOOKUP(C85,ITEM_MASTER!$A:$D,4,0),"?")</f>
        <v>Chameleon Paint #1</v>
      </c>
      <c r="G85" s="212" t="str">
        <f>IFERROR(VLOOKUP($C85,ITEM_MASTER!$A:$I,5,0),"?")</f>
        <v>Sơn Chameleon #1</v>
      </c>
      <c r="H85" s="213">
        <v>1.0</v>
      </c>
      <c r="I85" s="212" t="str">
        <f>IFERROR(VLOOKUP($C85,ITEM_MASTER!$A:$N,7,0),"?")</f>
        <v>UnCommon</v>
      </c>
      <c r="J85" s="212" t="str">
        <f>IFERROR(VLOOKUP($C85,ITEM_MASTER!$A:$N,8,0),"?")</f>
        <v>unreleased</v>
      </c>
      <c r="K85" s="212" t="str">
        <f>IFERROR(VLOOKUP($C85,ITEM_MASTER!$A:$N,9,0),"?")</f>
        <v>Post-Race Rewards</v>
      </c>
      <c r="L85" s="210"/>
    </row>
    <row r="86" ht="15.75" customHeight="1">
      <c r="A86" s="210" t="s">
        <v>85</v>
      </c>
      <c r="B86" s="210" t="s">
        <v>86</v>
      </c>
      <c r="C86" s="211" t="s">
        <v>351</v>
      </c>
      <c r="D86" s="212" t="str">
        <f>IFERROR(VLOOKUP(C86,ITEM_MASTER!$A:$C,2,0),"?")</f>
        <v>ccv</v>
      </c>
      <c r="E86" s="212" t="str">
        <f>IFERROR(VLOOKUP(C86,ITEM_MASTER!$A:$C,3,0),"?")</f>
        <v>mat_body</v>
      </c>
      <c r="F86" s="212" t="str">
        <f>IFERROR(VLOOKUP(C86,ITEM_MASTER!$A:$D,4,0),"?")</f>
        <v>Chameleon Paint #2</v>
      </c>
      <c r="G86" s="212" t="str">
        <f>IFERROR(VLOOKUP($C86,ITEM_MASTER!$A:$I,5,0),"?")</f>
        <v>Sơn Chameleon #2</v>
      </c>
      <c r="H86" s="213">
        <v>1.0</v>
      </c>
      <c r="I86" s="212" t="str">
        <f>IFERROR(VLOOKUP($C86,ITEM_MASTER!$A:$N,7,0),"?")</f>
        <v>UnCommon</v>
      </c>
      <c r="J86" s="212" t="str">
        <f>IFERROR(VLOOKUP($C86,ITEM_MASTER!$A:$N,8,0),"?")</f>
        <v>unreleased</v>
      </c>
      <c r="K86" s="212" t="str">
        <f>IFERROR(VLOOKUP($C86,ITEM_MASTER!$A:$N,9,0),"?")</f>
        <v>Post-Race Rewards</v>
      </c>
      <c r="L86" s="210"/>
    </row>
    <row r="87" ht="15.75" customHeight="1">
      <c r="A87" s="210" t="s">
        <v>85</v>
      </c>
      <c r="B87" s="210" t="s">
        <v>86</v>
      </c>
      <c r="C87" s="211" t="s">
        <v>352</v>
      </c>
      <c r="D87" s="212" t="str">
        <f>IFERROR(VLOOKUP(C87,ITEM_MASTER!$A:$C,2,0),"?")</f>
        <v>ccv</v>
      </c>
      <c r="E87" s="212" t="str">
        <f>IFERROR(VLOOKUP(C87,ITEM_MASTER!$A:$C,3,0),"?")</f>
        <v>mat_body</v>
      </c>
      <c r="F87" s="212" t="str">
        <f>IFERROR(VLOOKUP(C87,ITEM_MASTER!$A:$D,4,0),"?")</f>
        <v>Chameleon Paint #3</v>
      </c>
      <c r="G87" s="212" t="str">
        <f>IFERROR(VLOOKUP($C87,ITEM_MASTER!$A:$I,5,0),"?")</f>
        <v>Sơn Chameleon #3</v>
      </c>
      <c r="H87" s="213">
        <v>1.0</v>
      </c>
      <c r="I87" s="212" t="str">
        <f>IFERROR(VLOOKUP($C87,ITEM_MASTER!$A:$N,7,0),"?")</f>
        <v>UnCommon</v>
      </c>
      <c r="J87" s="212" t="str">
        <f>IFERROR(VLOOKUP($C87,ITEM_MASTER!$A:$N,8,0),"?")</f>
        <v>unreleased</v>
      </c>
      <c r="K87" s="212" t="str">
        <f>IFERROR(VLOOKUP($C87,ITEM_MASTER!$A:$N,9,0),"?")</f>
        <v>Post-Race Rewards</v>
      </c>
      <c r="L87" s="210"/>
    </row>
    <row r="88" ht="15.75" customHeight="1">
      <c r="A88" s="210" t="s">
        <v>85</v>
      </c>
      <c r="B88" s="210" t="s">
        <v>86</v>
      </c>
      <c r="C88" s="211" t="s">
        <v>353</v>
      </c>
      <c r="D88" s="212" t="str">
        <f>IFERROR(VLOOKUP(C88,ITEM_MASTER!$A:$C,2,0),"?")</f>
        <v>ccv</v>
      </c>
      <c r="E88" s="212" t="str">
        <f>IFERROR(VLOOKUP(C88,ITEM_MASTER!$A:$C,3,0),"?")</f>
        <v>mat_body</v>
      </c>
      <c r="F88" s="212" t="str">
        <f>IFERROR(VLOOKUP(C88,ITEM_MASTER!$A:$D,4,0),"?")</f>
        <v>Metallic Paint #1</v>
      </c>
      <c r="G88" s="212" t="str">
        <f>IFERROR(VLOOKUP($C88,ITEM_MASTER!$A:$I,5,0),"?")</f>
        <v>Sơn Kim Loại #1</v>
      </c>
      <c r="H88" s="213">
        <v>1.0</v>
      </c>
      <c r="I88" s="212" t="str">
        <f>IFERROR(VLOOKUP($C88,ITEM_MASTER!$A:$N,7,0),"?")</f>
        <v>Common</v>
      </c>
      <c r="J88" s="212" t="str">
        <f>IFERROR(VLOOKUP($C88,ITEM_MASTER!$A:$N,8,0),"?")</f>
        <v>unreleased</v>
      </c>
      <c r="K88" s="212" t="str">
        <f>IFERROR(VLOOKUP($C88,ITEM_MASTER!$A:$N,9,0),"?")</f>
        <v>Post-Race Rewards</v>
      </c>
      <c r="L88" s="210"/>
    </row>
    <row r="89" ht="15.75" customHeight="1">
      <c r="A89" s="210" t="s">
        <v>85</v>
      </c>
      <c r="B89" s="210" t="s">
        <v>86</v>
      </c>
      <c r="C89" s="211" t="s">
        <v>354</v>
      </c>
      <c r="D89" s="212" t="str">
        <f>IFERROR(VLOOKUP(C89,ITEM_MASTER!$A:$C,2,0),"?")</f>
        <v>ccv</v>
      </c>
      <c r="E89" s="212" t="str">
        <f>IFERROR(VLOOKUP(C89,ITEM_MASTER!$A:$C,3,0),"?")</f>
        <v>mat_body</v>
      </c>
      <c r="F89" s="212" t="str">
        <f>IFERROR(VLOOKUP(C89,ITEM_MASTER!$A:$D,4,0),"?")</f>
        <v>Metallic Paint #2</v>
      </c>
      <c r="G89" s="212" t="str">
        <f>IFERROR(VLOOKUP($C89,ITEM_MASTER!$A:$I,5,0),"?")</f>
        <v>Sơn Kim Loại #2</v>
      </c>
      <c r="H89" s="213">
        <v>1.0</v>
      </c>
      <c r="I89" s="212" t="str">
        <f>IFERROR(VLOOKUP($C89,ITEM_MASTER!$A:$N,7,0),"?")</f>
        <v>Common</v>
      </c>
      <c r="J89" s="212" t="str">
        <f>IFERROR(VLOOKUP($C89,ITEM_MASTER!$A:$N,8,0),"?")</f>
        <v>unreleased</v>
      </c>
      <c r="K89" s="212" t="str">
        <f>IFERROR(VLOOKUP($C89,ITEM_MASTER!$A:$N,9,0),"?")</f>
        <v>Post-Race Rewards</v>
      </c>
      <c r="L89" s="210"/>
    </row>
    <row r="90" ht="15.75" customHeight="1">
      <c r="A90" s="210" t="s">
        <v>85</v>
      </c>
      <c r="B90" s="210" t="s">
        <v>86</v>
      </c>
      <c r="C90" s="211" t="s">
        <v>355</v>
      </c>
      <c r="D90" s="212" t="str">
        <f>IFERROR(VLOOKUP(C90,ITEM_MASTER!$A:$C,2,0),"?")</f>
        <v>ccv</v>
      </c>
      <c r="E90" s="212" t="str">
        <f>IFERROR(VLOOKUP(C90,ITEM_MASTER!$A:$C,3,0),"?")</f>
        <v>mat_body</v>
      </c>
      <c r="F90" s="212" t="str">
        <f>IFERROR(VLOOKUP(C90,ITEM_MASTER!$A:$D,4,0),"?")</f>
        <v>Metallic Paint #3</v>
      </c>
      <c r="G90" s="212" t="str">
        <f>IFERROR(VLOOKUP($C90,ITEM_MASTER!$A:$I,5,0),"?")</f>
        <v>Sơn Kim Loại #3</v>
      </c>
      <c r="H90" s="213">
        <v>1.0</v>
      </c>
      <c r="I90" s="212" t="str">
        <f>IFERROR(VLOOKUP($C90,ITEM_MASTER!$A:$N,7,0),"?")</f>
        <v>Common</v>
      </c>
      <c r="J90" s="212" t="str">
        <f>IFERROR(VLOOKUP($C90,ITEM_MASTER!$A:$N,8,0),"?")</f>
        <v>unreleased</v>
      </c>
      <c r="K90" s="212" t="str">
        <f>IFERROR(VLOOKUP($C90,ITEM_MASTER!$A:$N,9,0),"?")</f>
        <v>Post-Race Rewards</v>
      </c>
      <c r="L90" s="210"/>
    </row>
    <row r="91" ht="15.75" customHeight="1">
      <c r="A91" s="210" t="s">
        <v>85</v>
      </c>
      <c r="B91" s="210" t="s">
        <v>86</v>
      </c>
      <c r="C91" s="211" t="s">
        <v>356</v>
      </c>
      <c r="D91" s="212" t="str">
        <f>IFERROR(VLOOKUP(C91,ITEM_MASTER!$A:$C,2,0),"?")</f>
        <v>ccv</v>
      </c>
      <c r="E91" s="212" t="str">
        <f>IFERROR(VLOOKUP(C91,ITEM_MASTER!$A:$C,3,0),"?")</f>
        <v>mat_body</v>
      </c>
      <c r="F91" s="212" t="str">
        <f>IFERROR(VLOOKUP(C91,ITEM_MASTER!$A:$D,4,0),"?")</f>
        <v>Glossy Paint #1</v>
      </c>
      <c r="G91" s="212" t="str">
        <f>IFERROR(VLOOKUP($C91,ITEM_MASTER!$A:$I,5,0),"?")</f>
        <v>Sơn Bóng #1</v>
      </c>
      <c r="H91" s="213">
        <v>1.0</v>
      </c>
      <c r="I91" s="212" t="str">
        <f>IFERROR(VLOOKUP($C91,ITEM_MASTER!$A:$N,7,0),"?")</f>
        <v>Common</v>
      </c>
      <c r="J91" s="212" t="str">
        <f>IFERROR(VLOOKUP($C91,ITEM_MASTER!$A:$N,8,0),"?")</f>
        <v>unreleased</v>
      </c>
      <c r="K91" s="212" t="str">
        <f>IFERROR(VLOOKUP($C91,ITEM_MASTER!$A:$N,9,0),"?")</f>
        <v>Post-Race Rewards</v>
      </c>
      <c r="L91" s="210"/>
    </row>
    <row r="92" ht="15.75" customHeight="1">
      <c r="A92" s="210" t="s">
        <v>85</v>
      </c>
      <c r="B92" s="210" t="s">
        <v>86</v>
      </c>
      <c r="C92" s="211" t="s">
        <v>357</v>
      </c>
      <c r="D92" s="212" t="str">
        <f>IFERROR(VLOOKUP(C92,ITEM_MASTER!$A:$C,2,0),"?")</f>
        <v>ccv</v>
      </c>
      <c r="E92" s="212" t="str">
        <f>IFERROR(VLOOKUP(C92,ITEM_MASTER!$A:$C,3,0),"?")</f>
        <v>mat_body</v>
      </c>
      <c r="F92" s="212" t="str">
        <f>IFERROR(VLOOKUP(C92,ITEM_MASTER!$A:$D,4,0),"?")</f>
        <v>Glossy Paint #2</v>
      </c>
      <c r="G92" s="212" t="str">
        <f>IFERROR(VLOOKUP($C92,ITEM_MASTER!$A:$I,5,0),"?")</f>
        <v>Sơn Bóng #2</v>
      </c>
      <c r="H92" s="213">
        <v>1.0</v>
      </c>
      <c r="I92" s="212" t="str">
        <f>IFERROR(VLOOKUP($C92,ITEM_MASTER!$A:$N,7,0),"?")</f>
        <v>Common</v>
      </c>
      <c r="J92" s="212" t="str">
        <f>IFERROR(VLOOKUP($C92,ITEM_MASTER!$A:$N,8,0),"?")</f>
        <v>unreleased</v>
      </c>
      <c r="K92" s="212" t="str">
        <f>IFERROR(VLOOKUP($C92,ITEM_MASTER!$A:$N,9,0),"?")</f>
        <v>Post-Race Rewards</v>
      </c>
      <c r="L92" s="210"/>
    </row>
    <row r="93" ht="15.75" customHeight="1">
      <c r="A93" s="210" t="s">
        <v>85</v>
      </c>
      <c r="B93" s="210" t="s">
        <v>86</v>
      </c>
      <c r="C93" s="211" t="s">
        <v>358</v>
      </c>
      <c r="D93" s="212" t="str">
        <f>IFERROR(VLOOKUP(C93,ITEM_MASTER!$A:$C,2,0),"?")</f>
        <v>ccv</v>
      </c>
      <c r="E93" s="212" t="str">
        <f>IFERROR(VLOOKUP(C93,ITEM_MASTER!$A:$C,3,0),"?")</f>
        <v>mat_body</v>
      </c>
      <c r="F93" s="212" t="str">
        <f>IFERROR(VLOOKUP(C93,ITEM_MASTER!$A:$D,4,0),"?")</f>
        <v>Glossy Paint #3</v>
      </c>
      <c r="G93" s="212" t="str">
        <f>IFERROR(VLOOKUP($C93,ITEM_MASTER!$A:$I,5,0),"?")</f>
        <v>Sơn Bóng #3</v>
      </c>
      <c r="H93" s="213">
        <v>1.0</v>
      </c>
      <c r="I93" s="212" t="str">
        <f>IFERROR(VLOOKUP($C93,ITEM_MASTER!$A:$N,7,0),"?")</f>
        <v>Common</v>
      </c>
      <c r="J93" s="212" t="str">
        <f>IFERROR(VLOOKUP($C93,ITEM_MASTER!$A:$N,8,0),"?")</f>
        <v>unreleased</v>
      </c>
      <c r="K93" s="212" t="str">
        <f>IFERROR(VLOOKUP($C93,ITEM_MASTER!$A:$N,9,0),"?")</f>
        <v>Post-Race Rewards</v>
      </c>
      <c r="L93" s="210"/>
    </row>
    <row r="94" ht="15.75" customHeight="1">
      <c r="A94" s="210" t="s">
        <v>85</v>
      </c>
      <c r="B94" s="210" t="s">
        <v>86</v>
      </c>
      <c r="C94" s="211" t="s">
        <v>359</v>
      </c>
      <c r="D94" s="212" t="str">
        <f>IFERROR(VLOOKUP(C94,ITEM_MASTER!$A:$C,2,0),"?")</f>
        <v>ccv</v>
      </c>
      <c r="E94" s="212" t="str">
        <f>IFERROR(VLOOKUP(C94,ITEM_MASTER!$A:$C,3,0),"?")</f>
        <v>mat_body</v>
      </c>
      <c r="F94" s="212" t="str">
        <f>IFERROR(VLOOKUP(C94,ITEM_MASTER!$A:$D,4,0),"?")</f>
        <v>Matte Paint #1</v>
      </c>
      <c r="G94" s="212" t="str">
        <f>IFERROR(VLOOKUP($C94,ITEM_MASTER!$A:$I,5,0),"?")</f>
        <v>Sơn Nhẵn #1</v>
      </c>
      <c r="H94" s="213">
        <v>1.0</v>
      </c>
      <c r="I94" s="212" t="str">
        <f>IFERROR(VLOOKUP($C94,ITEM_MASTER!$A:$N,7,0),"?")</f>
        <v>Common</v>
      </c>
      <c r="J94" s="212" t="str">
        <f>IFERROR(VLOOKUP($C94,ITEM_MASTER!$A:$N,8,0),"?")</f>
        <v>unreleased</v>
      </c>
      <c r="K94" s="212" t="str">
        <f>IFERROR(VLOOKUP($C94,ITEM_MASTER!$A:$N,9,0),"?")</f>
        <v>Post-Race Rewards</v>
      </c>
      <c r="L94" s="210"/>
    </row>
    <row r="95" ht="15.75" customHeight="1">
      <c r="A95" s="210" t="s">
        <v>85</v>
      </c>
      <c r="B95" s="210" t="s">
        <v>86</v>
      </c>
      <c r="C95" s="211" t="s">
        <v>360</v>
      </c>
      <c r="D95" s="212" t="str">
        <f>IFERROR(VLOOKUP(C95,ITEM_MASTER!$A:$C,2,0),"?")</f>
        <v>ccv</v>
      </c>
      <c r="E95" s="212" t="str">
        <f>IFERROR(VLOOKUP(C95,ITEM_MASTER!$A:$C,3,0),"?")</f>
        <v>mat_body</v>
      </c>
      <c r="F95" s="212" t="str">
        <f>IFERROR(VLOOKUP(C95,ITEM_MASTER!$A:$D,4,0),"?")</f>
        <v>Matte Paint #2</v>
      </c>
      <c r="G95" s="212" t="str">
        <f>IFERROR(VLOOKUP($C95,ITEM_MASTER!$A:$I,5,0),"?")</f>
        <v>Sơn Nhẵn #2</v>
      </c>
      <c r="H95" s="213">
        <v>1.0</v>
      </c>
      <c r="I95" s="212" t="str">
        <f>IFERROR(VLOOKUP($C95,ITEM_MASTER!$A:$N,7,0),"?")</f>
        <v>Common</v>
      </c>
      <c r="J95" s="212" t="str">
        <f>IFERROR(VLOOKUP($C95,ITEM_MASTER!$A:$N,8,0),"?")</f>
        <v>unreleased</v>
      </c>
      <c r="K95" s="212" t="str">
        <f>IFERROR(VLOOKUP($C95,ITEM_MASTER!$A:$N,9,0),"?")</f>
        <v>Post-Race Rewards</v>
      </c>
      <c r="L95" s="210"/>
    </row>
    <row r="96" ht="15.75" customHeight="1">
      <c r="A96" s="210" t="s">
        <v>85</v>
      </c>
      <c r="B96" s="210" t="s">
        <v>86</v>
      </c>
      <c r="C96" s="211" t="s">
        <v>361</v>
      </c>
      <c r="D96" s="212" t="str">
        <f>IFERROR(VLOOKUP(C96,ITEM_MASTER!$A:$C,2,0),"?")</f>
        <v>ccv</v>
      </c>
      <c r="E96" s="212" t="str">
        <f>IFERROR(VLOOKUP(C96,ITEM_MASTER!$A:$C,3,0),"?")</f>
        <v>mat_body</v>
      </c>
      <c r="F96" s="212" t="str">
        <f>IFERROR(VLOOKUP(C96,ITEM_MASTER!$A:$D,4,0),"?")</f>
        <v>Matte Paint #3</v>
      </c>
      <c r="G96" s="212" t="str">
        <f>IFERROR(VLOOKUP($C96,ITEM_MASTER!$A:$I,5,0),"?")</f>
        <v>Sơn Nhẵn #3</v>
      </c>
      <c r="H96" s="213">
        <v>1.0</v>
      </c>
      <c r="I96" s="212" t="str">
        <f>IFERROR(VLOOKUP($C96,ITEM_MASTER!$A:$N,7,0),"?")</f>
        <v>Common</v>
      </c>
      <c r="J96" s="212" t="str">
        <f>IFERROR(VLOOKUP($C96,ITEM_MASTER!$A:$N,8,0),"?")</f>
        <v>unreleased</v>
      </c>
      <c r="K96" s="212" t="str">
        <f>IFERROR(VLOOKUP($C96,ITEM_MASTER!$A:$N,9,0),"?")</f>
        <v>Post-Race Rewards</v>
      </c>
      <c r="L96" s="210"/>
    </row>
    <row r="97" ht="15.75" customHeight="1">
      <c r="A97" s="210" t="s">
        <v>85</v>
      </c>
      <c r="B97" s="210" t="s">
        <v>86</v>
      </c>
      <c r="C97" s="211" t="s">
        <v>362</v>
      </c>
      <c r="D97" s="212" t="str">
        <f>IFERROR(VLOOKUP(C97,ITEM_MASTER!$A:$C,2,0),"?")</f>
        <v>ccv</v>
      </c>
      <c r="E97" s="212" t="str">
        <f>IFERROR(VLOOKUP(C97,ITEM_MASTER!$A:$C,3,0),"?")</f>
        <v>mat_body</v>
      </c>
      <c r="F97" s="212" t="str">
        <f>IFERROR(VLOOKUP(C97,ITEM_MASTER!$A:$D,4,0),"?")</f>
        <v>Pearlescent Paint #1</v>
      </c>
      <c r="G97" s="212" t="str">
        <f>IFERROR(VLOOKUP($C97,ITEM_MASTER!$A:$I,5,0),"?")</f>
        <v>Sơn Pearlescent #1</v>
      </c>
      <c r="H97" s="213">
        <v>1.0</v>
      </c>
      <c r="I97" s="212" t="str">
        <f>IFERROR(VLOOKUP($C97,ITEM_MASTER!$A:$N,7,0),"?")</f>
        <v>Common</v>
      </c>
      <c r="J97" s="212" t="str">
        <f>IFERROR(VLOOKUP($C97,ITEM_MASTER!$A:$N,8,0),"?")</f>
        <v>unreleased</v>
      </c>
      <c r="K97" s="212" t="str">
        <f>IFERROR(VLOOKUP($C97,ITEM_MASTER!$A:$N,9,0),"?")</f>
        <v>Post-Race Rewards</v>
      </c>
      <c r="L97" s="210"/>
    </row>
    <row r="98" ht="15.75" customHeight="1">
      <c r="A98" s="210" t="s">
        <v>85</v>
      </c>
      <c r="B98" s="210" t="s">
        <v>86</v>
      </c>
      <c r="C98" s="211" t="s">
        <v>363</v>
      </c>
      <c r="D98" s="212" t="str">
        <f>IFERROR(VLOOKUP(C98,ITEM_MASTER!$A:$C,2,0),"?")</f>
        <v>ccv</v>
      </c>
      <c r="E98" s="212" t="str">
        <f>IFERROR(VLOOKUP(C98,ITEM_MASTER!$A:$C,3,0),"?")</f>
        <v>mat_body</v>
      </c>
      <c r="F98" s="212" t="str">
        <f>IFERROR(VLOOKUP(C98,ITEM_MASTER!$A:$D,4,0),"?")</f>
        <v>Pearlescent Paint #2</v>
      </c>
      <c r="G98" s="212" t="str">
        <f>IFERROR(VLOOKUP($C98,ITEM_MASTER!$A:$I,5,0),"?")</f>
        <v>Sơn Pearlescent #2</v>
      </c>
      <c r="H98" s="213">
        <v>1.0</v>
      </c>
      <c r="I98" s="212" t="str">
        <f>IFERROR(VLOOKUP($C98,ITEM_MASTER!$A:$N,7,0),"?")</f>
        <v>Common</v>
      </c>
      <c r="J98" s="212" t="str">
        <f>IFERROR(VLOOKUP($C98,ITEM_MASTER!$A:$N,8,0),"?")</f>
        <v>unreleased</v>
      </c>
      <c r="K98" s="212" t="str">
        <f>IFERROR(VLOOKUP($C98,ITEM_MASTER!$A:$N,9,0),"?")</f>
        <v>Post-Race Rewards</v>
      </c>
      <c r="L98" s="210"/>
    </row>
    <row r="99" ht="15.75" customHeight="1">
      <c r="A99" s="210" t="s">
        <v>85</v>
      </c>
      <c r="B99" s="210" t="s">
        <v>86</v>
      </c>
      <c r="C99" s="211" t="s">
        <v>364</v>
      </c>
      <c r="D99" s="212" t="str">
        <f>IFERROR(VLOOKUP(C99,ITEM_MASTER!$A:$C,2,0),"?")</f>
        <v>ccv</v>
      </c>
      <c r="E99" s="212" t="str">
        <f>IFERROR(VLOOKUP(C99,ITEM_MASTER!$A:$C,3,0),"?")</f>
        <v>mat_body</v>
      </c>
      <c r="F99" s="212" t="str">
        <f>IFERROR(VLOOKUP(C99,ITEM_MASTER!$A:$D,4,0),"?")</f>
        <v>Pearlescent Paint #3</v>
      </c>
      <c r="G99" s="212" t="str">
        <f>IFERROR(VLOOKUP($C99,ITEM_MASTER!$A:$I,5,0),"?")</f>
        <v>Sơn Pearlescent #3</v>
      </c>
      <c r="H99" s="213">
        <v>1.0</v>
      </c>
      <c r="I99" s="212" t="str">
        <f>IFERROR(VLOOKUP($C99,ITEM_MASTER!$A:$N,7,0),"?")</f>
        <v>Common</v>
      </c>
      <c r="J99" s="212" t="str">
        <f>IFERROR(VLOOKUP($C99,ITEM_MASTER!$A:$N,8,0),"?")</f>
        <v>unreleased</v>
      </c>
      <c r="K99" s="212" t="str">
        <f>IFERROR(VLOOKUP($C99,ITEM_MASTER!$A:$N,9,0),"?")</f>
        <v>Post-Race Rewards</v>
      </c>
      <c r="L99" s="210"/>
    </row>
    <row r="100" ht="15.75" customHeight="1">
      <c r="A100" s="210" t="s">
        <v>85</v>
      </c>
      <c r="B100" s="210" t="s">
        <v>86</v>
      </c>
      <c r="C100" s="211" t="s">
        <v>365</v>
      </c>
      <c r="D100" s="212" t="str">
        <f>IFERROR(VLOOKUP(C100,ITEM_MASTER!$A:$C,2,0),"?")</f>
        <v>ccv</v>
      </c>
      <c r="E100" s="212" t="str">
        <f>IFERROR(VLOOKUP(C100,ITEM_MASTER!$A:$C,3,0),"?")</f>
        <v>mat_body</v>
      </c>
      <c r="F100" s="212" t="str">
        <f>IFERROR(VLOOKUP(C100,ITEM_MASTER!$A:$D,4,0),"?")</f>
        <v>Chameleon Paint #1</v>
      </c>
      <c r="G100" s="212" t="str">
        <f>IFERROR(VLOOKUP($C100,ITEM_MASTER!$A:$I,5,0),"?")</f>
        <v>Sơn Chameleon #1</v>
      </c>
      <c r="H100" s="213">
        <v>1.0</v>
      </c>
      <c r="I100" s="212" t="str">
        <f>IFERROR(VLOOKUP($C100,ITEM_MASTER!$A:$N,7,0),"?")</f>
        <v>UnCommon</v>
      </c>
      <c r="J100" s="212" t="str">
        <f>IFERROR(VLOOKUP($C100,ITEM_MASTER!$A:$N,8,0),"?")</f>
        <v>unreleased</v>
      </c>
      <c r="K100" s="212" t="str">
        <f>IFERROR(VLOOKUP($C100,ITEM_MASTER!$A:$N,9,0),"?")</f>
        <v>Post-Race Rewards</v>
      </c>
      <c r="L100" s="210"/>
    </row>
    <row r="101" ht="15.75" customHeight="1">
      <c r="A101" s="210" t="s">
        <v>85</v>
      </c>
      <c r="B101" s="210" t="s">
        <v>86</v>
      </c>
      <c r="C101" s="211" t="s">
        <v>366</v>
      </c>
      <c r="D101" s="212" t="str">
        <f>IFERROR(VLOOKUP(C101,ITEM_MASTER!$A:$C,2,0),"?")</f>
        <v>ccv</v>
      </c>
      <c r="E101" s="212" t="str">
        <f>IFERROR(VLOOKUP(C101,ITEM_MASTER!$A:$C,3,0),"?")</f>
        <v>mat_body</v>
      </c>
      <c r="F101" s="212" t="str">
        <f>IFERROR(VLOOKUP(C101,ITEM_MASTER!$A:$D,4,0),"?")</f>
        <v>Chameleon Paint #2</v>
      </c>
      <c r="G101" s="212" t="str">
        <f>IFERROR(VLOOKUP($C101,ITEM_MASTER!$A:$I,5,0),"?")</f>
        <v>Sơn Chameleon #2</v>
      </c>
      <c r="H101" s="213">
        <v>1.0</v>
      </c>
      <c r="I101" s="212" t="str">
        <f>IFERROR(VLOOKUP($C101,ITEM_MASTER!$A:$N,7,0),"?")</f>
        <v>UnCommon</v>
      </c>
      <c r="J101" s="212" t="str">
        <f>IFERROR(VLOOKUP($C101,ITEM_MASTER!$A:$N,8,0),"?")</f>
        <v>unreleased</v>
      </c>
      <c r="K101" s="212" t="str">
        <f>IFERROR(VLOOKUP($C101,ITEM_MASTER!$A:$N,9,0),"?")</f>
        <v>Post-Race Rewards</v>
      </c>
      <c r="L101" s="210"/>
    </row>
    <row r="102" ht="15.75" customHeight="1">
      <c r="A102" s="210" t="s">
        <v>85</v>
      </c>
      <c r="B102" s="210" t="s">
        <v>86</v>
      </c>
      <c r="C102" s="211" t="s">
        <v>367</v>
      </c>
      <c r="D102" s="212" t="str">
        <f>IFERROR(VLOOKUP(C102,ITEM_MASTER!$A:$C,2,0),"?")</f>
        <v>ccv</v>
      </c>
      <c r="E102" s="212" t="str">
        <f>IFERROR(VLOOKUP(C102,ITEM_MASTER!$A:$C,3,0),"?")</f>
        <v>mat_body</v>
      </c>
      <c r="F102" s="212" t="str">
        <f>IFERROR(VLOOKUP(C102,ITEM_MASTER!$A:$D,4,0),"?")</f>
        <v>Chameleon Paint #3</v>
      </c>
      <c r="G102" s="212" t="str">
        <f>IFERROR(VLOOKUP($C102,ITEM_MASTER!$A:$I,5,0),"?")</f>
        <v>Sơn Chameleon #3</v>
      </c>
      <c r="H102" s="213">
        <v>1.0</v>
      </c>
      <c r="I102" s="212" t="str">
        <f>IFERROR(VLOOKUP($C102,ITEM_MASTER!$A:$N,7,0),"?")</f>
        <v>UnCommon</v>
      </c>
      <c r="J102" s="212" t="str">
        <f>IFERROR(VLOOKUP($C102,ITEM_MASTER!$A:$N,8,0),"?")</f>
        <v>unreleased</v>
      </c>
      <c r="K102" s="212" t="str">
        <f>IFERROR(VLOOKUP($C102,ITEM_MASTER!$A:$N,9,0),"?")</f>
        <v>Post-Race Rewards</v>
      </c>
      <c r="L102" s="210"/>
    </row>
    <row r="103" ht="15.75" customHeight="1">
      <c r="A103" s="210" t="s">
        <v>85</v>
      </c>
      <c r="B103" s="210" t="s">
        <v>86</v>
      </c>
      <c r="C103" s="211" t="s">
        <v>368</v>
      </c>
      <c r="D103" s="212" t="str">
        <f>IFERROR(VLOOKUP(C103,ITEM_MASTER!$A:$C,2,0),"?")</f>
        <v>ccv</v>
      </c>
      <c r="E103" s="212" t="str">
        <f>IFERROR(VLOOKUP(C103,ITEM_MASTER!$A:$C,3,0),"?")</f>
        <v>mat_wheel</v>
      </c>
      <c r="F103" s="212" t="str">
        <f>IFERROR(VLOOKUP(C103,ITEM_MASTER!$A:$D,4,0),"?")</f>
        <v>Metallic Wheel #1</v>
      </c>
      <c r="G103" s="212" t="str">
        <f>IFERROR(VLOOKUP($C103,ITEM_MASTER!$A:$I,5,0),"?")</f>
        <v>Mâm Kim Loại #1</v>
      </c>
      <c r="H103" s="213">
        <v>1.0</v>
      </c>
      <c r="I103" s="212" t="str">
        <f>IFERROR(VLOOKUP($C103,ITEM_MASTER!$A:$N,7,0),"?")</f>
        <v>Common</v>
      </c>
      <c r="J103" s="212" t="str">
        <f>IFERROR(VLOOKUP($C103,ITEM_MASTER!$A:$N,8,0),"?")</f>
        <v>unreleased</v>
      </c>
      <c r="K103" s="212" t="str">
        <f>IFERROR(VLOOKUP($C103,ITEM_MASTER!$A:$N,9,0),"?")</f>
        <v>Post-Race Rewards</v>
      </c>
      <c r="L103" s="210"/>
    </row>
    <row r="104" ht="15.75" customHeight="1">
      <c r="A104" s="210" t="s">
        <v>85</v>
      </c>
      <c r="B104" s="210" t="s">
        <v>86</v>
      </c>
      <c r="C104" s="211" t="s">
        <v>372</v>
      </c>
      <c r="D104" s="212" t="str">
        <f>IFERROR(VLOOKUP(C104,ITEM_MASTER!$A:$C,2,0),"?")</f>
        <v>ccv</v>
      </c>
      <c r="E104" s="212" t="str">
        <f>IFERROR(VLOOKUP(C104,ITEM_MASTER!$A:$C,3,0),"?")</f>
        <v>mat_wheel</v>
      </c>
      <c r="F104" s="212" t="str">
        <f>IFERROR(VLOOKUP(C104,ITEM_MASTER!$A:$D,4,0),"?")</f>
        <v>Metallic Wheel #2</v>
      </c>
      <c r="G104" s="212" t="str">
        <f>IFERROR(VLOOKUP($C104,ITEM_MASTER!$A:$I,5,0),"?")</f>
        <v>Mâm Kim Loại #2</v>
      </c>
      <c r="H104" s="213">
        <v>1.0</v>
      </c>
      <c r="I104" s="212" t="str">
        <f>IFERROR(VLOOKUP($C104,ITEM_MASTER!$A:$N,7,0),"?")</f>
        <v>Common</v>
      </c>
      <c r="J104" s="212" t="str">
        <f>IFERROR(VLOOKUP($C104,ITEM_MASTER!$A:$N,8,0),"?")</f>
        <v>unreleased</v>
      </c>
      <c r="K104" s="212" t="str">
        <f>IFERROR(VLOOKUP($C104,ITEM_MASTER!$A:$N,9,0),"?")</f>
        <v>Post-Race Rewards</v>
      </c>
      <c r="L104" s="210"/>
    </row>
    <row r="105" ht="15.75" customHeight="1">
      <c r="A105" s="210" t="s">
        <v>85</v>
      </c>
      <c r="B105" s="210" t="s">
        <v>86</v>
      </c>
      <c r="C105" s="211" t="s">
        <v>375</v>
      </c>
      <c r="D105" s="212" t="str">
        <f>IFERROR(VLOOKUP(C105,ITEM_MASTER!$A:$C,2,0),"?")</f>
        <v>ccv</v>
      </c>
      <c r="E105" s="212" t="str">
        <f>IFERROR(VLOOKUP(C105,ITEM_MASTER!$A:$C,3,0),"?")</f>
        <v>mat_wheel</v>
      </c>
      <c r="F105" s="212" t="str">
        <f>IFERROR(VLOOKUP(C105,ITEM_MASTER!$A:$D,4,0),"?")</f>
        <v>Metallic Wheel #3</v>
      </c>
      <c r="G105" s="212" t="str">
        <f>IFERROR(VLOOKUP($C105,ITEM_MASTER!$A:$I,5,0),"?")</f>
        <v>Mâm Kim Loại #3</v>
      </c>
      <c r="H105" s="213">
        <v>1.0</v>
      </c>
      <c r="I105" s="212" t="str">
        <f>IFERROR(VLOOKUP($C105,ITEM_MASTER!$A:$N,7,0),"?")</f>
        <v>Common</v>
      </c>
      <c r="J105" s="212" t="str">
        <f>IFERROR(VLOOKUP($C105,ITEM_MASTER!$A:$N,8,0),"?")</f>
        <v>unreleased</v>
      </c>
      <c r="K105" s="212" t="str">
        <f>IFERROR(VLOOKUP($C105,ITEM_MASTER!$A:$N,9,0),"?")</f>
        <v>Post-Race Rewards</v>
      </c>
      <c r="L105" s="210"/>
    </row>
    <row r="106" ht="15.75" customHeight="1">
      <c r="A106" s="210" t="s">
        <v>85</v>
      </c>
      <c r="B106" s="210" t="s">
        <v>86</v>
      </c>
      <c r="C106" s="211" t="s">
        <v>378</v>
      </c>
      <c r="D106" s="212" t="str">
        <f>IFERROR(VLOOKUP(C106,ITEM_MASTER!$A:$C,2,0),"?")</f>
        <v>ccv</v>
      </c>
      <c r="E106" s="212" t="str">
        <f>IFERROR(VLOOKUP(C106,ITEM_MASTER!$A:$C,3,0),"?")</f>
        <v>mat_wheel</v>
      </c>
      <c r="F106" s="212" t="str">
        <f>IFERROR(VLOOKUP(C106,ITEM_MASTER!$A:$D,4,0),"?")</f>
        <v>Pearlescent Wheel #1</v>
      </c>
      <c r="G106" s="212" t="str">
        <f>IFERROR(VLOOKUP($C106,ITEM_MASTER!$A:$I,5,0),"?")</f>
        <v>Mâm Pearlescent #1</v>
      </c>
      <c r="H106" s="213">
        <v>1.0</v>
      </c>
      <c r="I106" s="212" t="str">
        <f>IFERROR(VLOOKUP($C106,ITEM_MASTER!$A:$N,7,0),"?")</f>
        <v>UnCommon</v>
      </c>
      <c r="J106" s="212" t="str">
        <f>IFERROR(VLOOKUP($C106,ITEM_MASTER!$A:$N,8,0),"?")</f>
        <v>unreleased</v>
      </c>
      <c r="K106" s="212" t="str">
        <f>IFERROR(VLOOKUP($C106,ITEM_MASTER!$A:$N,9,0),"?")</f>
        <v>Post-Race Rewards</v>
      </c>
      <c r="L106" s="210"/>
    </row>
    <row r="107" ht="15.75" customHeight="1">
      <c r="A107" s="210" t="s">
        <v>85</v>
      </c>
      <c r="B107" s="210" t="s">
        <v>86</v>
      </c>
      <c r="C107" s="211" t="s">
        <v>381</v>
      </c>
      <c r="D107" s="212" t="str">
        <f>IFERROR(VLOOKUP(C107,ITEM_MASTER!$A:$C,2,0),"?")</f>
        <v>ccv</v>
      </c>
      <c r="E107" s="212" t="str">
        <f>IFERROR(VLOOKUP(C107,ITEM_MASTER!$A:$C,3,0),"?")</f>
        <v>mat_wheel</v>
      </c>
      <c r="F107" s="212" t="str">
        <f>IFERROR(VLOOKUP(C107,ITEM_MASTER!$A:$D,4,0),"?")</f>
        <v>Pearlescent Wheel #2</v>
      </c>
      <c r="G107" s="212" t="str">
        <f>IFERROR(VLOOKUP($C107,ITEM_MASTER!$A:$I,5,0),"?")</f>
        <v>Mâm Pearlescent #2</v>
      </c>
      <c r="H107" s="213">
        <v>1.0</v>
      </c>
      <c r="I107" s="212" t="str">
        <f>IFERROR(VLOOKUP($C107,ITEM_MASTER!$A:$N,7,0),"?")</f>
        <v>UnCommon</v>
      </c>
      <c r="J107" s="212" t="str">
        <f>IFERROR(VLOOKUP($C107,ITEM_MASTER!$A:$N,8,0),"?")</f>
        <v>unreleased</v>
      </c>
      <c r="K107" s="212" t="str">
        <f>IFERROR(VLOOKUP($C107,ITEM_MASTER!$A:$N,9,0),"?")</f>
        <v>Post-Race Rewards</v>
      </c>
      <c r="L107" s="210"/>
    </row>
    <row r="108" ht="15.75" customHeight="1">
      <c r="A108" s="210" t="s">
        <v>85</v>
      </c>
      <c r="B108" s="210" t="s">
        <v>86</v>
      </c>
      <c r="C108" s="211" t="s">
        <v>384</v>
      </c>
      <c r="D108" s="212" t="str">
        <f>IFERROR(VLOOKUP(C108,ITEM_MASTER!$A:$C,2,0),"?")</f>
        <v>ccv</v>
      </c>
      <c r="E108" s="212" t="str">
        <f>IFERROR(VLOOKUP(C108,ITEM_MASTER!$A:$C,3,0),"?")</f>
        <v>mat_wheel</v>
      </c>
      <c r="F108" s="212" t="str">
        <f>IFERROR(VLOOKUP(C108,ITEM_MASTER!$A:$D,4,0),"?")</f>
        <v>Pearlescent Wheel #3</v>
      </c>
      <c r="G108" s="212" t="str">
        <f>IFERROR(VLOOKUP($C108,ITEM_MASTER!$A:$I,5,0),"?")</f>
        <v>Mâm Pearlescent #3</v>
      </c>
      <c r="H108" s="213">
        <v>1.0</v>
      </c>
      <c r="I108" s="212" t="str">
        <f>IFERROR(VLOOKUP($C108,ITEM_MASTER!$A:$N,7,0),"?")</f>
        <v>UnCommon</v>
      </c>
      <c r="J108" s="212" t="str">
        <f>IFERROR(VLOOKUP($C108,ITEM_MASTER!$A:$N,8,0),"?")</f>
        <v>unreleased</v>
      </c>
      <c r="K108" s="212" t="str">
        <f>IFERROR(VLOOKUP($C108,ITEM_MASTER!$A:$N,9,0),"?")</f>
        <v>Post-Race Rewards</v>
      </c>
      <c r="L108" s="210"/>
    </row>
    <row r="109" ht="15.75" customHeight="1">
      <c r="A109" s="210" t="s">
        <v>85</v>
      </c>
      <c r="B109" s="210" t="s">
        <v>86</v>
      </c>
      <c r="C109" s="211" t="s">
        <v>387</v>
      </c>
      <c r="D109" s="212" t="str">
        <f>IFERROR(VLOOKUP(C109,ITEM_MASTER!$A:$C,2,0),"?")</f>
        <v>ccv</v>
      </c>
      <c r="E109" s="212" t="str">
        <f>IFERROR(VLOOKUP(C109,ITEM_MASTER!$A:$C,3,0),"?")</f>
        <v>mat_wheel</v>
      </c>
      <c r="F109" s="212" t="str">
        <f>IFERROR(VLOOKUP(C109,ITEM_MASTER!$A:$D,4,0),"?")</f>
        <v>Chameleon Wheel #1</v>
      </c>
      <c r="G109" s="212" t="str">
        <f>IFERROR(VLOOKUP($C109,ITEM_MASTER!$A:$I,5,0),"?")</f>
        <v>Mâm Chameleon #1</v>
      </c>
      <c r="H109" s="213">
        <v>1.0</v>
      </c>
      <c r="I109" s="212" t="str">
        <f>IFERROR(VLOOKUP($C109,ITEM_MASTER!$A:$N,7,0),"?")</f>
        <v>UnCommon</v>
      </c>
      <c r="J109" s="212" t="str">
        <f>IFERROR(VLOOKUP($C109,ITEM_MASTER!$A:$N,8,0),"?")</f>
        <v>unreleased</v>
      </c>
      <c r="K109" s="212" t="str">
        <f>IFERROR(VLOOKUP($C109,ITEM_MASTER!$A:$N,9,0),"?")</f>
        <v>Post-Race Rewards</v>
      </c>
      <c r="L109" s="210"/>
    </row>
    <row r="110" ht="15.75" customHeight="1">
      <c r="A110" s="210" t="s">
        <v>85</v>
      </c>
      <c r="B110" s="210" t="s">
        <v>86</v>
      </c>
      <c r="C110" s="211" t="s">
        <v>390</v>
      </c>
      <c r="D110" s="212" t="str">
        <f>IFERROR(VLOOKUP(C110,ITEM_MASTER!$A:$C,2,0),"?")</f>
        <v>ccv</v>
      </c>
      <c r="E110" s="212" t="str">
        <f>IFERROR(VLOOKUP(C110,ITEM_MASTER!$A:$C,3,0),"?")</f>
        <v>mat_wheel</v>
      </c>
      <c r="F110" s="212" t="str">
        <f>IFERROR(VLOOKUP(C110,ITEM_MASTER!$A:$D,4,0),"?")</f>
        <v>Chameleon Wheel #2</v>
      </c>
      <c r="G110" s="212" t="str">
        <f>IFERROR(VLOOKUP($C110,ITEM_MASTER!$A:$I,5,0),"?")</f>
        <v>Mâm Chameleon #2</v>
      </c>
      <c r="H110" s="213">
        <v>1.0</v>
      </c>
      <c r="I110" s="212" t="str">
        <f>IFERROR(VLOOKUP($C110,ITEM_MASTER!$A:$N,7,0),"?")</f>
        <v>UnCommon</v>
      </c>
      <c r="J110" s="212" t="str">
        <f>IFERROR(VLOOKUP($C110,ITEM_MASTER!$A:$N,8,0),"?")</f>
        <v>unreleased</v>
      </c>
      <c r="K110" s="212" t="str">
        <f>IFERROR(VLOOKUP($C110,ITEM_MASTER!$A:$N,9,0),"?")</f>
        <v>Post-Race Rewards</v>
      </c>
      <c r="L110" s="210"/>
    </row>
    <row r="111" ht="15.75" customHeight="1">
      <c r="A111" s="210" t="s">
        <v>85</v>
      </c>
      <c r="B111" s="210" t="s">
        <v>86</v>
      </c>
      <c r="C111" s="211" t="s">
        <v>393</v>
      </c>
      <c r="D111" s="212" t="str">
        <f>IFERROR(VLOOKUP(C111,ITEM_MASTER!$A:$C,2,0),"?")</f>
        <v>ccv</v>
      </c>
      <c r="E111" s="212" t="str">
        <f>IFERROR(VLOOKUP(C111,ITEM_MASTER!$A:$C,3,0),"?")</f>
        <v>mat_wheel</v>
      </c>
      <c r="F111" s="212" t="str">
        <f>IFERROR(VLOOKUP(C111,ITEM_MASTER!$A:$D,4,0),"?")</f>
        <v>Chameleon Wheel #3</v>
      </c>
      <c r="G111" s="212" t="str">
        <f>IFERROR(VLOOKUP($C111,ITEM_MASTER!$A:$I,5,0),"?")</f>
        <v>Mâm Chameleon #3</v>
      </c>
      <c r="H111" s="213">
        <v>1.0</v>
      </c>
      <c r="I111" s="212" t="str">
        <f>IFERROR(VLOOKUP($C111,ITEM_MASTER!$A:$N,7,0),"?")</f>
        <v>UnCommon</v>
      </c>
      <c r="J111" s="212" t="str">
        <f>IFERROR(VLOOKUP($C111,ITEM_MASTER!$A:$N,8,0),"?")</f>
        <v>unreleased</v>
      </c>
      <c r="K111" s="212" t="str">
        <f>IFERROR(VLOOKUP($C111,ITEM_MASTER!$A:$N,9,0),"?")</f>
        <v>Post-Race Rewards</v>
      </c>
      <c r="L111" s="210"/>
    </row>
    <row r="112" ht="15.75" customHeight="1">
      <c r="A112" s="210" t="s">
        <v>85</v>
      </c>
      <c r="B112" s="210" t="s">
        <v>86</v>
      </c>
      <c r="C112" s="211" t="s">
        <v>396</v>
      </c>
      <c r="D112" s="212" t="str">
        <f>IFERROR(VLOOKUP(C112,ITEM_MASTER!$A:$C,2,0),"?")</f>
        <v>ccv</v>
      </c>
      <c r="E112" s="212" t="str">
        <f>IFERROR(VLOOKUP(C112,ITEM_MASTER!$A:$C,3,0),"?")</f>
        <v>mat_wheel</v>
      </c>
      <c r="F112" s="212" t="str">
        <f>IFERROR(VLOOKUP(C112,ITEM_MASTER!$A:$D,4,0),"?")</f>
        <v>Metallic Wheel #1</v>
      </c>
      <c r="G112" s="212" t="str">
        <f>IFERROR(VLOOKUP($C112,ITEM_MASTER!$A:$I,5,0),"?")</f>
        <v>Mâm Kim Loại #1</v>
      </c>
      <c r="H112" s="213">
        <v>1.0</v>
      </c>
      <c r="I112" s="212" t="str">
        <f>IFERROR(VLOOKUP($C112,ITEM_MASTER!$A:$N,7,0),"?")</f>
        <v>Common</v>
      </c>
      <c r="J112" s="212" t="str">
        <f>IFERROR(VLOOKUP($C112,ITEM_MASTER!$A:$N,8,0),"?")</f>
        <v>unreleased</v>
      </c>
      <c r="K112" s="212" t="str">
        <f>IFERROR(VLOOKUP($C112,ITEM_MASTER!$A:$N,9,0),"?")</f>
        <v>Post-Race Rewards</v>
      </c>
      <c r="L112" s="210"/>
    </row>
    <row r="113" ht="15.75" customHeight="1">
      <c r="A113" s="210" t="s">
        <v>85</v>
      </c>
      <c r="B113" s="210" t="s">
        <v>86</v>
      </c>
      <c r="C113" s="211" t="s">
        <v>397</v>
      </c>
      <c r="D113" s="212" t="str">
        <f>IFERROR(VLOOKUP(C113,ITEM_MASTER!$A:$C,2,0),"?")</f>
        <v>ccv</v>
      </c>
      <c r="E113" s="212" t="str">
        <f>IFERROR(VLOOKUP(C113,ITEM_MASTER!$A:$C,3,0),"?")</f>
        <v>mat_wheel</v>
      </c>
      <c r="F113" s="212" t="str">
        <f>IFERROR(VLOOKUP(C113,ITEM_MASTER!$A:$D,4,0),"?")</f>
        <v>Metallic Wheel #2</v>
      </c>
      <c r="G113" s="212" t="str">
        <f>IFERROR(VLOOKUP($C113,ITEM_MASTER!$A:$I,5,0),"?")</f>
        <v>Mâm Kim Loại #2</v>
      </c>
      <c r="H113" s="213">
        <v>1.0</v>
      </c>
      <c r="I113" s="212" t="str">
        <f>IFERROR(VLOOKUP($C113,ITEM_MASTER!$A:$N,7,0),"?")</f>
        <v>Common</v>
      </c>
      <c r="J113" s="212" t="str">
        <f>IFERROR(VLOOKUP($C113,ITEM_MASTER!$A:$N,8,0),"?")</f>
        <v>unreleased</v>
      </c>
      <c r="K113" s="212" t="str">
        <f>IFERROR(VLOOKUP($C113,ITEM_MASTER!$A:$N,9,0),"?")</f>
        <v>Post-Race Rewards</v>
      </c>
      <c r="L113" s="210"/>
    </row>
    <row r="114" ht="15.75" customHeight="1">
      <c r="A114" s="210" t="s">
        <v>85</v>
      </c>
      <c r="B114" s="210" t="s">
        <v>86</v>
      </c>
      <c r="C114" s="211" t="s">
        <v>398</v>
      </c>
      <c r="D114" s="212" t="str">
        <f>IFERROR(VLOOKUP(C114,ITEM_MASTER!$A:$C,2,0),"?")</f>
        <v>ccv</v>
      </c>
      <c r="E114" s="212" t="str">
        <f>IFERROR(VLOOKUP(C114,ITEM_MASTER!$A:$C,3,0),"?")</f>
        <v>mat_wheel</v>
      </c>
      <c r="F114" s="212" t="str">
        <f>IFERROR(VLOOKUP(C114,ITEM_MASTER!$A:$D,4,0),"?")</f>
        <v>Metallic Wheel #3</v>
      </c>
      <c r="G114" s="212" t="str">
        <f>IFERROR(VLOOKUP($C114,ITEM_MASTER!$A:$I,5,0),"?")</f>
        <v>Mâm Kim Loại #3</v>
      </c>
      <c r="H114" s="213">
        <v>1.0</v>
      </c>
      <c r="I114" s="212" t="str">
        <f>IFERROR(VLOOKUP($C114,ITEM_MASTER!$A:$N,7,0),"?")</f>
        <v>Common</v>
      </c>
      <c r="J114" s="212" t="str">
        <f>IFERROR(VLOOKUP($C114,ITEM_MASTER!$A:$N,8,0),"?")</f>
        <v>unreleased</v>
      </c>
      <c r="K114" s="212" t="str">
        <f>IFERROR(VLOOKUP($C114,ITEM_MASTER!$A:$N,9,0),"?")</f>
        <v>Post-Race Rewards</v>
      </c>
      <c r="L114" s="210"/>
    </row>
    <row r="115" ht="15.75" customHeight="1">
      <c r="A115" s="210" t="s">
        <v>85</v>
      </c>
      <c r="B115" s="210" t="s">
        <v>86</v>
      </c>
      <c r="C115" s="211" t="s">
        <v>399</v>
      </c>
      <c r="D115" s="212" t="str">
        <f>IFERROR(VLOOKUP(C115,ITEM_MASTER!$A:$C,2,0),"?")</f>
        <v>ccv</v>
      </c>
      <c r="E115" s="212" t="str">
        <f>IFERROR(VLOOKUP(C115,ITEM_MASTER!$A:$C,3,0),"?")</f>
        <v>mat_wheel</v>
      </c>
      <c r="F115" s="212" t="str">
        <f>IFERROR(VLOOKUP(C115,ITEM_MASTER!$A:$D,4,0),"?")</f>
        <v>Pearlescent Wheel #1</v>
      </c>
      <c r="G115" s="212" t="str">
        <f>IFERROR(VLOOKUP($C115,ITEM_MASTER!$A:$I,5,0),"?")</f>
        <v>Mâm Pearlescent #1</v>
      </c>
      <c r="H115" s="213">
        <v>1.0</v>
      </c>
      <c r="I115" s="212" t="str">
        <f>IFERROR(VLOOKUP($C115,ITEM_MASTER!$A:$N,7,0),"?")</f>
        <v>UnCommon</v>
      </c>
      <c r="J115" s="212" t="str">
        <f>IFERROR(VLOOKUP($C115,ITEM_MASTER!$A:$N,8,0),"?")</f>
        <v>unreleased</v>
      </c>
      <c r="K115" s="212" t="str">
        <f>IFERROR(VLOOKUP($C115,ITEM_MASTER!$A:$N,9,0),"?")</f>
        <v>Post-Race Rewards</v>
      </c>
      <c r="L115" s="210"/>
    </row>
    <row r="116" ht="15.75" customHeight="1">
      <c r="A116" s="210" t="s">
        <v>85</v>
      </c>
      <c r="B116" s="210" t="s">
        <v>86</v>
      </c>
      <c r="C116" s="211" t="s">
        <v>400</v>
      </c>
      <c r="D116" s="212" t="str">
        <f>IFERROR(VLOOKUP(C116,ITEM_MASTER!$A:$C,2,0),"?")</f>
        <v>ccv</v>
      </c>
      <c r="E116" s="212" t="str">
        <f>IFERROR(VLOOKUP(C116,ITEM_MASTER!$A:$C,3,0),"?")</f>
        <v>mat_wheel</v>
      </c>
      <c r="F116" s="212" t="str">
        <f>IFERROR(VLOOKUP(C116,ITEM_MASTER!$A:$D,4,0),"?")</f>
        <v>Pearlescent Wheel #2</v>
      </c>
      <c r="G116" s="212" t="str">
        <f>IFERROR(VLOOKUP($C116,ITEM_MASTER!$A:$I,5,0),"?")</f>
        <v>Mâm Pearlescent #2</v>
      </c>
      <c r="H116" s="213">
        <v>1.0</v>
      </c>
      <c r="I116" s="212" t="str">
        <f>IFERROR(VLOOKUP($C116,ITEM_MASTER!$A:$N,7,0),"?")</f>
        <v>UnCommon</v>
      </c>
      <c r="J116" s="212" t="str">
        <f>IFERROR(VLOOKUP($C116,ITEM_MASTER!$A:$N,8,0),"?")</f>
        <v>unreleased</v>
      </c>
      <c r="K116" s="212" t="str">
        <f>IFERROR(VLOOKUP($C116,ITEM_MASTER!$A:$N,9,0),"?")</f>
        <v>Post-Race Rewards</v>
      </c>
      <c r="L116" s="210"/>
    </row>
    <row r="117" ht="15.75" customHeight="1">
      <c r="A117" s="210" t="s">
        <v>85</v>
      </c>
      <c r="B117" s="210" t="s">
        <v>86</v>
      </c>
      <c r="C117" s="211" t="s">
        <v>401</v>
      </c>
      <c r="D117" s="212" t="str">
        <f>IFERROR(VLOOKUP(C117,ITEM_MASTER!$A:$C,2,0),"?")</f>
        <v>ccv</v>
      </c>
      <c r="E117" s="212" t="str">
        <f>IFERROR(VLOOKUP(C117,ITEM_MASTER!$A:$C,3,0),"?")</f>
        <v>mat_wheel</v>
      </c>
      <c r="F117" s="212" t="str">
        <f>IFERROR(VLOOKUP(C117,ITEM_MASTER!$A:$D,4,0),"?")</f>
        <v>Pearlescent Wheel #3</v>
      </c>
      <c r="G117" s="212" t="str">
        <f>IFERROR(VLOOKUP($C117,ITEM_MASTER!$A:$I,5,0),"?")</f>
        <v>Mâm Pearlescent #3</v>
      </c>
      <c r="H117" s="213">
        <v>1.0</v>
      </c>
      <c r="I117" s="212" t="str">
        <f>IFERROR(VLOOKUP($C117,ITEM_MASTER!$A:$N,7,0),"?")</f>
        <v>UnCommon</v>
      </c>
      <c r="J117" s="212" t="str">
        <f>IFERROR(VLOOKUP($C117,ITEM_MASTER!$A:$N,8,0),"?")</f>
        <v>unreleased</v>
      </c>
      <c r="K117" s="212" t="str">
        <f>IFERROR(VLOOKUP($C117,ITEM_MASTER!$A:$N,9,0),"?")</f>
        <v>Post-Race Rewards</v>
      </c>
      <c r="L117" s="210"/>
    </row>
    <row r="118" ht="15.75" customHeight="1">
      <c r="A118" s="210" t="s">
        <v>85</v>
      </c>
      <c r="B118" s="210" t="s">
        <v>86</v>
      </c>
      <c r="C118" s="211" t="s">
        <v>402</v>
      </c>
      <c r="D118" s="212" t="str">
        <f>IFERROR(VLOOKUP(C118,ITEM_MASTER!$A:$C,2,0),"?")</f>
        <v>ccv</v>
      </c>
      <c r="E118" s="212" t="str">
        <f>IFERROR(VLOOKUP(C118,ITEM_MASTER!$A:$C,3,0),"?")</f>
        <v>mat_wheel</v>
      </c>
      <c r="F118" s="212" t="str">
        <f>IFERROR(VLOOKUP(C118,ITEM_MASTER!$A:$D,4,0),"?")</f>
        <v>Chameleon Wheel #1</v>
      </c>
      <c r="G118" s="212" t="str">
        <f>IFERROR(VLOOKUP($C118,ITEM_MASTER!$A:$I,5,0),"?")</f>
        <v>Mâm Chameleon #1</v>
      </c>
      <c r="H118" s="213">
        <v>1.0</v>
      </c>
      <c r="I118" s="212" t="str">
        <f>IFERROR(VLOOKUP($C118,ITEM_MASTER!$A:$N,7,0),"?")</f>
        <v>UnCommon</v>
      </c>
      <c r="J118" s="212" t="str">
        <f>IFERROR(VLOOKUP($C118,ITEM_MASTER!$A:$N,8,0),"?")</f>
        <v>unreleased</v>
      </c>
      <c r="K118" s="212" t="str">
        <f>IFERROR(VLOOKUP($C118,ITEM_MASTER!$A:$N,9,0),"?")</f>
        <v>Post-Race Rewards</v>
      </c>
      <c r="L118" s="210"/>
    </row>
    <row r="119" ht="15.75" customHeight="1">
      <c r="A119" s="210" t="s">
        <v>85</v>
      </c>
      <c r="B119" s="210" t="s">
        <v>86</v>
      </c>
      <c r="C119" s="211" t="s">
        <v>403</v>
      </c>
      <c r="D119" s="212" t="str">
        <f>IFERROR(VLOOKUP(C119,ITEM_MASTER!$A:$C,2,0),"?")</f>
        <v>ccv</v>
      </c>
      <c r="E119" s="212" t="str">
        <f>IFERROR(VLOOKUP(C119,ITEM_MASTER!$A:$C,3,0),"?")</f>
        <v>mat_wheel</v>
      </c>
      <c r="F119" s="212" t="str">
        <f>IFERROR(VLOOKUP(C119,ITEM_MASTER!$A:$D,4,0),"?")</f>
        <v>Chameleon Wheel #2</v>
      </c>
      <c r="G119" s="212" t="str">
        <f>IFERROR(VLOOKUP($C119,ITEM_MASTER!$A:$I,5,0),"?")</f>
        <v>Mâm Chameleon #2</v>
      </c>
      <c r="H119" s="213">
        <v>1.0</v>
      </c>
      <c r="I119" s="212" t="str">
        <f>IFERROR(VLOOKUP($C119,ITEM_MASTER!$A:$N,7,0),"?")</f>
        <v>UnCommon</v>
      </c>
      <c r="J119" s="212" t="str">
        <f>IFERROR(VLOOKUP($C119,ITEM_MASTER!$A:$N,8,0),"?")</f>
        <v>unreleased</v>
      </c>
      <c r="K119" s="212" t="str">
        <f>IFERROR(VLOOKUP($C119,ITEM_MASTER!$A:$N,9,0),"?")</f>
        <v>Post-Race Rewards</v>
      </c>
      <c r="L119" s="210"/>
    </row>
    <row r="120" ht="15.75" customHeight="1">
      <c r="A120" s="210" t="s">
        <v>85</v>
      </c>
      <c r="B120" s="210" t="s">
        <v>86</v>
      </c>
      <c r="C120" s="211" t="s">
        <v>404</v>
      </c>
      <c r="D120" s="212" t="str">
        <f>IFERROR(VLOOKUP(C120,ITEM_MASTER!$A:$C,2,0),"?")</f>
        <v>ccv</v>
      </c>
      <c r="E120" s="212" t="str">
        <f>IFERROR(VLOOKUP(C120,ITEM_MASTER!$A:$C,3,0),"?")</f>
        <v>mat_wheel</v>
      </c>
      <c r="F120" s="212" t="str">
        <f>IFERROR(VLOOKUP(C120,ITEM_MASTER!$A:$D,4,0),"?")</f>
        <v>Chameleon Wheel #3</v>
      </c>
      <c r="G120" s="212" t="str">
        <f>IFERROR(VLOOKUP($C120,ITEM_MASTER!$A:$I,5,0),"?")</f>
        <v>Mâm Chameleon #3</v>
      </c>
      <c r="H120" s="213">
        <v>1.0</v>
      </c>
      <c r="I120" s="212" t="str">
        <f>IFERROR(VLOOKUP($C120,ITEM_MASTER!$A:$N,7,0),"?")</f>
        <v>UnCommon</v>
      </c>
      <c r="J120" s="212" t="str">
        <f>IFERROR(VLOOKUP($C120,ITEM_MASTER!$A:$N,8,0),"?")</f>
        <v>unreleased</v>
      </c>
      <c r="K120" s="212" t="str">
        <f>IFERROR(VLOOKUP($C120,ITEM_MASTER!$A:$N,9,0),"?")</f>
        <v>Post-Race Rewards</v>
      </c>
      <c r="L120" s="210"/>
    </row>
    <row r="121" ht="15.75" customHeight="1">
      <c r="A121" s="210" t="s">
        <v>85</v>
      </c>
      <c r="B121" s="210" t="s">
        <v>86</v>
      </c>
      <c r="C121" s="211" t="s">
        <v>405</v>
      </c>
      <c r="D121" s="212" t="str">
        <f>IFERROR(VLOOKUP(C121,ITEM_MASTER!$A:$C,2,0),"?")</f>
        <v>ccv</v>
      </c>
      <c r="E121" s="212" t="str">
        <f>IFERROR(VLOOKUP(C121,ITEM_MASTER!$A:$C,3,0),"?")</f>
        <v>mat_wheel</v>
      </c>
      <c r="F121" s="212" t="str">
        <f>IFERROR(VLOOKUP(C121,ITEM_MASTER!$A:$D,4,0),"?")</f>
        <v>Metallic Wheel #1</v>
      </c>
      <c r="G121" s="212" t="str">
        <f>IFERROR(VLOOKUP($C121,ITEM_MASTER!$A:$I,5,0),"?")</f>
        <v>Mâm Kim Loại #1</v>
      </c>
      <c r="H121" s="213">
        <v>1.0</v>
      </c>
      <c r="I121" s="212" t="str">
        <f>IFERROR(VLOOKUP($C121,ITEM_MASTER!$A:$N,7,0),"?")</f>
        <v>Common</v>
      </c>
      <c r="J121" s="212" t="str">
        <f>IFERROR(VLOOKUP($C121,ITEM_MASTER!$A:$N,8,0),"?")</f>
        <v>unreleased</v>
      </c>
      <c r="K121" s="212" t="str">
        <f>IFERROR(VLOOKUP($C121,ITEM_MASTER!$A:$N,9,0),"?")</f>
        <v>Post-Race Rewards</v>
      </c>
      <c r="L121" s="210"/>
    </row>
    <row r="122" ht="15.75" customHeight="1">
      <c r="A122" s="210" t="s">
        <v>85</v>
      </c>
      <c r="B122" s="210" t="s">
        <v>86</v>
      </c>
      <c r="C122" s="211" t="s">
        <v>406</v>
      </c>
      <c r="D122" s="212" t="str">
        <f>IFERROR(VLOOKUP(C122,ITEM_MASTER!$A:$C,2,0),"?")</f>
        <v>ccv</v>
      </c>
      <c r="E122" s="212" t="str">
        <f>IFERROR(VLOOKUP(C122,ITEM_MASTER!$A:$C,3,0),"?")</f>
        <v>mat_wheel</v>
      </c>
      <c r="F122" s="212" t="str">
        <f>IFERROR(VLOOKUP(C122,ITEM_MASTER!$A:$D,4,0),"?")</f>
        <v>Metallic Wheel #2</v>
      </c>
      <c r="G122" s="212" t="str">
        <f>IFERROR(VLOOKUP($C122,ITEM_MASTER!$A:$I,5,0),"?")</f>
        <v>Mâm Kim Loại #2</v>
      </c>
      <c r="H122" s="213">
        <v>1.0</v>
      </c>
      <c r="I122" s="212" t="str">
        <f>IFERROR(VLOOKUP($C122,ITEM_MASTER!$A:$N,7,0),"?")</f>
        <v>Common</v>
      </c>
      <c r="J122" s="212" t="str">
        <f>IFERROR(VLOOKUP($C122,ITEM_MASTER!$A:$N,8,0),"?")</f>
        <v>unreleased</v>
      </c>
      <c r="K122" s="212" t="str">
        <f>IFERROR(VLOOKUP($C122,ITEM_MASTER!$A:$N,9,0),"?")</f>
        <v>Post-Race Rewards</v>
      </c>
      <c r="L122" s="210"/>
    </row>
    <row r="123" ht="15.75" customHeight="1">
      <c r="A123" s="210" t="s">
        <v>85</v>
      </c>
      <c r="B123" s="210" t="s">
        <v>86</v>
      </c>
      <c r="C123" s="211" t="s">
        <v>407</v>
      </c>
      <c r="D123" s="212" t="str">
        <f>IFERROR(VLOOKUP(C123,ITEM_MASTER!$A:$C,2,0),"?")</f>
        <v>ccv</v>
      </c>
      <c r="E123" s="212" t="str">
        <f>IFERROR(VLOOKUP(C123,ITEM_MASTER!$A:$C,3,0),"?")</f>
        <v>mat_wheel</v>
      </c>
      <c r="F123" s="212" t="str">
        <f>IFERROR(VLOOKUP(C123,ITEM_MASTER!$A:$D,4,0),"?")</f>
        <v>Metallic Wheel #3</v>
      </c>
      <c r="G123" s="212" t="str">
        <f>IFERROR(VLOOKUP($C123,ITEM_MASTER!$A:$I,5,0),"?")</f>
        <v>Mâm Kim Loại #3</v>
      </c>
      <c r="H123" s="213">
        <v>1.0</v>
      </c>
      <c r="I123" s="212" t="str">
        <f>IFERROR(VLOOKUP($C123,ITEM_MASTER!$A:$N,7,0),"?")</f>
        <v>Common</v>
      </c>
      <c r="J123" s="212" t="str">
        <f>IFERROR(VLOOKUP($C123,ITEM_MASTER!$A:$N,8,0),"?")</f>
        <v>unreleased</v>
      </c>
      <c r="K123" s="212" t="str">
        <f>IFERROR(VLOOKUP($C123,ITEM_MASTER!$A:$N,9,0),"?")</f>
        <v>Post-Race Rewards</v>
      </c>
      <c r="L123" s="210"/>
    </row>
    <row r="124" ht="15.75" customHeight="1">
      <c r="A124" s="210" t="s">
        <v>85</v>
      </c>
      <c r="B124" s="210" t="s">
        <v>86</v>
      </c>
      <c r="C124" s="211" t="s">
        <v>408</v>
      </c>
      <c r="D124" s="212" t="str">
        <f>IFERROR(VLOOKUP(C124,ITEM_MASTER!$A:$C,2,0),"?")</f>
        <v>ccv</v>
      </c>
      <c r="E124" s="212" t="str">
        <f>IFERROR(VLOOKUP(C124,ITEM_MASTER!$A:$C,3,0),"?")</f>
        <v>mat_wheel</v>
      </c>
      <c r="F124" s="212" t="str">
        <f>IFERROR(VLOOKUP(C124,ITEM_MASTER!$A:$D,4,0),"?")</f>
        <v>Pearlescent Wheel #1</v>
      </c>
      <c r="G124" s="212" t="str">
        <f>IFERROR(VLOOKUP($C124,ITEM_MASTER!$A:$I,5,0),"?")</f>
        <v>Mâm Pearlescent #1</v>
      </c>
      <c r="H124" s="213">
        <v>1.0</v>
      </c>
      <c r="I124" s="212" t="str">
        <f>IFERROR(VLOOKUP($C124,ITEM_MASTER!$A:$N,7,0),"?")</f>
        <v>UnCommon</v>
      </c>
      <c r="J124" s="212" t="str">
        <f>IFERROR(VLOOKUP($C124,ITEM_MASTER!$A:$N,8,0),"?")</f>
        <v>unreleased</v>
      </c>
      <c r="K124" s="212" t="str">
        <f>IFERROR(VLOOKUP($C124,ITEM_MASTER!$A:$N,9,0),"?")</f>
        <v>Post-Race Rewards</v>
      </c>
      <c r="L124" s="210"/>
    </row>
    <row r="125" ht="15.75" customHeight="1">
      <c r="A125" s="210" t="s">
        <v>85</v>
      </c>
      <c r="B125" s="210" t="s">
        <v>86</v>
      </c>
      <c r="C125" s="211" t="s">
        <v>409</v>
      </c>
      <c r="D125" s="212" t="str">
        <f>IFERROR(VLOOKUP(C125,ITEM_MASTER!$A:$C,2,0),"?")</f>
        <v>ccv</v>
      </c>
      <c r="E125" s="212" t="str">
        <f>IFERROR(VLOOKUP(C125,ITEM_MASTER!$A:$C,3,0),"?")</f>
        <v>mat_wheel</v>
      </c>
      <c r="F125" s="212" t="str">
        <f>IFERROR(VLOOKUP(C125,ITEM_MASTER!$A:$D,4,0),"?")</f>
        <v>Pearlescent Wheel #2</v>
      </c>
      <c r="G125" s="212" t="str">
        <f>IFERROR(VLOOKUP($C125,ITEM_MASTER!$A:$I,5,0),"?")</f>
        <v>Mâm Pearlescent #2</v>
      </c>
      <c r="H125" s="213">
        <v>1.0</v>
      </c>
      <c r="I125" s="212" t="str">
        <f>IFERROR(VLOOKUP($C125,ITEM_MASTER!$A:$N,7,0),"?")</f>
        <v>UnCommon</v>
      </c>
      <c r="J125" s="212" t="str">
        <f>IFERROR(VLOOKUP($C125,ITEM_MASTER!$A:$N,8,0),"?")</f>
        <v>unreleased</v>
      </c>
      <c r="K125" s="212" t="str">
        <f>IFERROR(VLOOKUP($C125,ITEM_MASTER!$A:$N,9,0),"?")</f>
        <v>Post-Race Rewards</v>
      </c>
      <c r="L125" s="210"/>
    </row>
    <row r="126" ht="15.75" customHeight="1">
      <c r="A126" s="210" t="s">
        <v>85</v>
      </c>
      <c r="B126" s="210" t="s">
        <v>86</v>
      </c>
      <c r="C126" s="211" t="s">
        <v>410</v>
      </c>
      <c r="D126" s="212" t="str">
        <f>IFERROR(VLOOKUP(C126,ITEM_MASTER!$A:$C,2,0),"?")</f>
        <v>ccv</v>
      </c>
      <c r="E126" s="212" t="str">
        <f>IFERROR(VLOOKUP(C126,ITEM_MASTER!$A:$C,3,0),"?")</f>
        <v>mat_wheel</v>
      </c>
      <c r="F126" s="212" t="str">
        <f>IFERROR(VLOOKUP(C126,ITEM_MASTER!$A:$D,4,0),"?")</f>
        <v>Pearlescent Wheel #3</v>
      </c>
      <c r="G126" s="212" t="str">
        <f>IFERROR(VLOOKUP($C126,ITEM_MASTER!$A:$I,5,0),"?")</f>
        <v>Mâm Pearlescent #3</v>
      </c>
      <c r="H126" s="213">
        <v>1.0</v>
      </c>
      <c r="I126" s="212" t="str">
        <f>IFERROR(VLOOKUP($C126,ITEM_MASTER!$A:$N,7,0),"?")</f>
        <v>UnCommon</v>
      </c>
      <c r="J126" s="212" t="str">
        <f>IFERROR(VLOOKUP($C126,ITEM_MASTER!$A:$N,8,0),"?")</f>
        <v>unreleased</v>
      </c>
      <c r="K126" s="212" t="str">
        <f>IFERROR(VLOOKUP($C126,ITEM_MASTER!$A:$N,9,0),"?")</f>
        <v>Post-Race Rewards</v>
      </c>
      <c r="L126" s="210"/>
    </row>
    <row r="127" ht="15.75" customHeight="1">
      <c r="A127" s="210" t="s">
        <v>85</v>
      </c>
      <c r="B127" s="210" t="s">
        <v>86</v>
      </c>
      <c r="C127" s="211" t="s">
        <v>411</v>
      </c>
      <c r="D127" s="212" t="str">
        <f>IFERROR(VLOOKUP(C127,ITEM_MASTER!$A:$C,2,0),"?")</f>
        <v>ccv</v>
      </c>
      <c r="E127" s="212" t="str">
        <f>IFERROR(VLOOKUP(C127,ITEM_MASTER!$A:$C,3,0),"?")</f>
        <v>mat_wheel</v>
      </c>
      <c r="F127" s="212" t="str">
        <f>IFERROR(VLOOKUP(C127,ITEM_MASTER!$A:$D,4,0),"?")</f>
        <v>Chameleon Wheel #1</v>
      </c>
      <c r="G127" s="212" t="str">
        <f>IFERROR(VLOOKUP($C127,ITEM_MASTER!$A:$I,5,0),"?")</f>
        <v>Mâm Chameleon #1</v>
      </c>
      <c r="H127" s="213">
        <v>1.0</v>
      </c>
      <c r="I127" s="212" t="str">
        <f>IFERROR(VLOOKUP($C127,ITEM_MASTER!$A:$N,7,0),"?")</f>
        <v>UnCommon</v>
      </c>
      <c r="J127" s="212" t="str">
        <f>IFERROR(VLOOKUP($C127,ITEM_MASTER!$A:$N,8,0),"?")</f>
        <v>unreleased</v>
      </c>
      <c r="K127" s="212" t="str">
        <f>IFERROR(VLOOKUP($C127,ITEM_MASTER!$A:$N,9,0),"?")</f>
        <v>Post-Race Rewards</v>
      </c>
      <c r="L127" s="210"/>
    </row>
    <row r="128" ht="15.75" customHeight="1">
      <c r="A128" s="210" t="s">
        <v>85</v>
      </c>
      <c r="B128" s="210" t="s">
        <v>86</v>
      </c>
      <c r="C128" s="211" t="s">
        <v>412</v>
      </c>
      <c r="D128" s="212" t="str">
        <f>IFERROR(VLOOKUP(C128,ITEM_MASTER!$A:$C,2,0),"?")</f>
        <v>ccv</v>
      </c>
      <c r="E128" s="212" t="str">
        <f>IFERROR(VLOOKUP(C128,ITEM_MASTER!$A:$C,3,0),"?")</f>
        <v>mat_wheel</v>
      </c>
      <c r="F128" s="212" t="str">
        <f>IFERROR(VLOOKUP(C128,ITEM_MASTER!$A:$D,4,0),"?")</f>
        <v>Chameleon Wheel #2</v>
      </c>
      <c r="G128" s="212" t="str">
        <f>IFERROR(VLOOKUP($C128,ITEM_MASTER!$A:$I,5,0),"?")</f>
        <v>Mâm Chameleon #2</v>
      </c>
      <c r="H128" s="213">
        <v>1.0</v>
      </c>
      <c r="I128" s="212" t="str">
        <f>IFERROR(VLOOKUP($C128,ITEM_MASTER!$A:$N,7,0),"?")</f>
        <v>UnCommon</v>
      </c>
      <c r="J128" s="212" t="str">
        <f>IFERROR(VLOOKUP($C128,ITEM_MASTER!$A:$N,8,0),"?")</f>
        <v>unreleased</v>
      </c>
      <c r="K128" s="212" t="str">
        <f>IFERROR(VLOOKUP($C128,ITEM_MASTER!$A:$N,9,0),"?")</f>
        <v>Post-Race Rewards</v>
      </c>
      <c r="L128" s="210"/>
    </row>
    <row r="129" ht="15.75" customHeight="1">
      <c r="A129" s="210" t="s">
        <v>85</v>
      </c>
      <c r="B129" s="210" t="s">
        <v>86</v>
      </c>
      <c r="C129" s="211" t="s">
        <v>413</v>
      </c>
      <c r="D129" s="212" t="str">
        <f>IFERROR(VLOOKUP(C129,ITEM_MASTER!$A:$C,2,0),"?")</f>
        <v>ccv</v>
      </c>
      <c r="E129" s="212" t="str">
        <f>IFERROR(VLOOKUP(C129,ITEM_MASTER!$A:$C,3,0),"?")</f>
        <v>mat_wheel</v>
      </c>
      <c r="F129" s="212" t="str">
        <f>IFERROR(VLOOKUP(C129,ITEM_MASTER!$A:$D,4,0),"?")</f>
        <v>Chameleon Wheel #3</v>
      </c>
      <c r="G129" s="212" t="str">
        <f>IFERROR(VLOOKUP($C129,ITEM_MASTER!$A:$I,5,0),"?")</f>
        <v>Mâm Chameleon #3</v>
      </c>
      <c r="H129" s="213">
        <v>1.0</v>
      </c>
      <c r="I129" s="212" t="str">
        <f>IFERROR(VLOOKUP($C129,ITEM_MASTER!$A:$N,7,0),"?")</f>
        <v>UnCommon</v>
      </c>
      <c r="J129" s="212" t="str">
        <f>IFERROR(VLOOKUP($C129,ITEM_MASTER!$A:$N,8,0),"?")</f>
        <v>unreleased</v>
      </c>
      <c r="K129" s="212" t="str">
        <f>IFERROR(VLOOKUP($C129,ITEM_MASTER!$A:$N,9,0),"?")</f>
        <v>Post-Race Rewards</v>
      </c>
      <c r="L129" s="210"/>
    </row>
    <row r="130" ht="15.75" customHeight="1">
      <c r="A130" s="210" t="s">
        <v>85</v>
      </c>
      <c r="B130" s="210" t="s">
        <v>86</v>
      </c>
      <c r="C130" s="211" t="s">
        <v>414</v>
      </c>
      <c r="D130" s="212" t="str">
        <f>IFERROR(VLOOKUP(C130,ITEM_MASTER!$A:$C,2,0),"?")</f>
        <v>ccv</v>
      </c>
      <c r="E130" s="212" t="str">
        <f>IFERROR(VLOOKUP(C130,ITEM_MASTER!$A:$C,3,0),"?")</f>
        <v>dec</v>
      </c>
      <c r="F130" s="212" t="str">
        <f>IFERROR(VLOOKUP(C130,ITEM_MASTER!$A:$D,4,0),"?")</f>
        <v>Stripe Line</v>
      </c>
      <c r="G130" s="212" t="str">
        <f>IFERROR(VLOOKUP($C130,ITEM_MASTER!$A:$I,5,0),"?")</f>
        <v>Sọc Stripe</v>
      </c>
      <c r="H130" s="213">
        <v>1.0</v>
      </c>
      <c r="I130" s="212" t="str">
        <f>IFERROR(VLOOKUP($C130,ITEM_MASTER!$A:$N,7,0),"?")</f>
        <v>Common</v>
      </c>
      <c r="J130" s="212" t="str">
        <f>IFERROR(VLOOKUP($C130,ITEM_MASTER!$A:$N,8,0),"?")</f>
        <v>unreleased</v>
      </c>
      <c r="K130" s="212" t="str">
        <f>IFERROR(VLOOKUP($C130,ITEM_MASTER!$A:$N,9,0),"?")</f>
        <v>Post-Race Rewards</v>
      </c>
      <c r="L130" s="210"/>
    </row>
    <row r="131" ht="15.75" customHeight="1">
      <c r="A131" s="210" t="s">
        <v>85</v>
      </c>
      <c r="B131" s="210" t="s">
        <v>86</v>
      </c>
      <c r="C131" s="211" t="s">
        <v>421</v>
      </c>
      <c r="D131" s="212" t="str">
        <f>IFERROR(VLOOKUP(C131,ITEM_MASTER!$A:$C,2,0),"?")</f>
        <v>ccv</v>
      </c>
      <c r="E131" s="212" t="str">
        <f>IFERROR(VLOOKUP(C131,ITEM_MASTER!$A:$C,3,0),"?")</f>
        <v>dec</v>
      </c>
      <c r="F131" s="212" t="str">
        <f>IFERROR(VLOOKUP(C131,ITEM_MASTER!$A:$D,4,0),"?")</f>
        <v>Logo Sponsorship</v>
      </c>
      <c r="G131" s="212" t="str">
        <f>IFERROR(VLOOKUP($C131,ITEM_MASTER!$A:$I,5,0),"?")</f>
        <v>Logo Tài Trợ</v>
      </c>
      <c r="H131" s="213">
        <v>1.0</v>
      </c>
      <c r="I131" s="212" t="str">
        <f>IFERROR(VLOOKUP($C131,ITEM_MASTER!$A:$N,7,0),"?")</f>
        <v>Common</v>
      </c>
      <c r="J131" s="212" t="str">
        <f>IFERROR(VLOOKUP($C131,ITEM_MASTER!$A:$N,8,0),"?")</f>
        <v>unreleased</v>
      </c>
      <c r="K131" s="212" t="str">
        <f>IFERROR(VLOOKUP($C131,ITEM_MASTER!$A:$N,9,0),"?")</f>
        <v>Post-Race Rewards</v>
      </c>
      <c r="L131" s="210"/>
    </row>
    <row r="132" ht="15.75" customHeight="1">
      <c r="A132" s="210" t="s">
        <v>85</v>
      </c>
      <c r="B132" s="210" t="s">
        <v>86</v>
      </c>
      <c r="C132" s="211" t="s">
        <v>425</v>
      </c>
      <c r="D132" s="212" t="str">
        <f>IFERROR(VLOOKUP(C132,ITEM_MASTER!$A:$C,2,0),"?")</f>
        <v>ccv</v>
      </c>
      <c r="E132" s="212" t="str">
        <f>IFERROR(VLOOKUP(C132,ITEM_MASTER!$A:$C,3,0),"?")</f>
        <v>dec</v>
      </c>
      <c r="F132" s="212" t="str">
        <f>IFERROR(VLOOKUP(C132,ITEM_MASTER!$A:$D,4,0),"?")</f>
        <v>Graphic Theme</v>
      </c>
      <c r="G132" s="212" t="str">
        <f>IFERROR(VLOOKUP($C132,ITEM_MASTER!$A:$I,5,0),"?")</f>
        <v>Họa Tiết Graphic</v>
      </c>
      <c r="H132" s="213">
        <v>1.0</v>
      </c>
      <c r="I132" s="212" t="str">
        <f>IFERROR(VLOOKUP($C132,ITEM_MASTER!$A:$N,7,0),"?")</f>
        <v>Common</v>
      </c>
      <c r="J132" s="212" t="str">
        <f>IFERROR(VLOOKUP($C132,ITEM_MASTER!$A:$N,8,0),"?")</f>
        <v>unreleased</v>
      </c>
      <c r="K132" s="212" t="str">
        <f>IFERROR(VLOOKUP($C132,ITEM_MASTER!$A:$N,9,0),"?")</f>
        <v>Post-Race Rewards</v>
      </c>
      <c r="L132" s="210"/>
    </row>
    <row r="133" ht="15.75" customHeight="1">
      <c r="A133" s="210" t="s">
        <v>85</v>
      </c>
      <c r="B133" s="210" t="s">
        <v>86</v>
      </c>
      <c r="C133" s="211" t="s">
        <v>428</v>
      </c>
      <c r="D133" s="212" t="str">
        <f>IFERROR(VLOOKUP(C133,ITEM_MASTER!$A:$C,2,0),"?")</f>
        <v>ccv</v>
      </c>
      <c r="E133" s="212" t="str">
        <f>IFERROR(VLOOKUP(C133,ITEM_MASTER!$A:$C,3,0),"?")</f>
        <v>dec</v>
      </c>
      <c r="F133" s="212" t="str">
        <f>IFERROR(VLOOKUP(C133,ITEM_MASTER!$A:$D,4,0),"?")</f>
        <v>Wraps</v>
      </c>
      <c r="G133" s="212" t="str">
        <f>IFERROR(VLOOKUP($C133,ITEM_MASTER!$A:$I,5,0),"?")</f>
        <v>Decal Phủ </v>
      </c>
      <c r="H133" s="213">
        <v>1.0</v>
      </c>
      <c r="I133" s="212" t="str">
        <f>IFERROR(VLOOKUP($C133,ITEM_MASTER!$A:$N,7,0),"?")</f>
        <v>UnCommon</v>
      </c>
      <c r="J133" s="212" t="str">
        <f>IFERROR(VLOOKUP($C133,ITEM_MASTER!$A:$N,8,0),"?")</f>
        <v>unreleased</v>
      </c>
      <c r="K133" s="212" t="str">
        <f>IFERROR(VLOOKUP($C133,ITEM_MASTER!$A:$N,9,0),"?")</f>
        <v>Post-Race Rewards</v>
      </c>
      <c r="L133" s="210"/>
    </row>
    <row r="134" ht="15.75" customHeight="1">
      <c r="A134" s="210" t="s">
        <v>85</v>
      </c>
      <c r="B134" s="210" t="s">
        <v>86</v>
      </c>
      <c r="C134" s="211" t="s">
        <v>431</v>
      </c>
      <c r="D134" s="212" t="str">
        <f>IFERROR(VLOOKUP(C134,ITEM_MASTER!$A:$C,2,0),"?")</f>
        <v>ccv</v>
      </c>
      <c r="E134" s="212" t="str">
        <f>IFERROR(VLOOKUP(C134,ITEM_MASTER!$A:$C,3,0),"?")</f>
        <v>dec</v>
      </c>
      <c r="F134" s="212" t="str">
        <f>IFERROR(VLOOKUP(C134,ITEM_MASTER!$A:$D,4,0),"?")</f>
        <v>Stripe Line</v>
      </c>
      <c r="G134" s="212" t="str">
        <f>IFERROR(VLOOKUP($C134,ITEM_MASTER!$A:$I,5,0),"?")</f>
        <v>Sọc Stripe</v>
      </c>
      <c r="H134" s="213">
        <v>1.0</v>
      </c>
      <c r="I134" s="212" t="str">
        <f>IFERROR(VLOOKUP($C134,ITEM_MASTER!$A:$N,7,0),"?")</f>
        <v>UnCommon</v>
      </c>
      <c r="J134" s="212" t="str">
        <f>IFERROR(VLOOKUP($C134,ITEM_MASTER!$A:$N,8,0),"?")</f>
        <v>unreleased</v>
      </c>
      <c r="K134" s="212" t="str">
        <f>IFERROR(VLOOKUP($C134,ITEM_MASTER!$A:$N,9,0),"?")</f>
        <v>Post-Race Rewards</v>
      </c>
      <c r="L134" s="210"/>
    </row>
    <row r="135" ht="15.75" customHeight="1">
      <c r="A135" s="210" t="s">
        <v>85</v>
      </c>
      <c r="B135" s="210" t="s">
        <v>86</v>
      </c>
      <c r="C135" s="211" t="s">
        <v>432</v>
      </c>
      <c r="D135" s="212" t="str">
        <f>IFERROR(VLOOKUP(C135,ITEM_MASTER!$A:$C,2,0),"?")</f>
        <v>ccv</v>
      </c>
      <c r="E135" s="212" t="str">
        <f>IFERROR(VLOOKUP(C135,ITEM_MASTER!$A:$C,3,0),"?")</f>
        <v>dec</v>
      </c>
      <c r="F135" s="212" t="str">
        <f>IFERROR(VLOOKUP(C135,ITEM_MASTER!$A:$D,4,0),"?")</f>
        <v>Logo Sponsorship</v>
      </c>
      <c r="G135" s="212" t="str">
        <f>IFERROR(VLOOKUP($C135,ITEM_MASTER!$A:$I,5,0),"?")</f>
        <v>Logo Tài Trợ</v>
      </c>
      <c r="H135" s="213">
        <v>1.0</v>
      </c>
      <c r="I135" s="212" t="str">
        <f>IFERROR(VLOOKUP($C135,ITEM_MASTER!$A:$N,7,0),"?")</f>
        <v>Common</v>
      </c>
      <c r="J135" s="212" t="str">
        <f>IFERROR(VLOOKUP($C135,ITEM_MASTER!$A:$N,8,0),"?")</f>
        <v>unreleased</v>
      </c>
      <c r="K135" s="212" t="str">
        <f>IFERROR(VLOOKUP($C135,ITEM_MASTER!$A:$N,9,0),"?")</f>
        <v>Post-Race Rewards</v>
      </c>
      <c r="L135" s="210"/>
    </row>
    <row r="136" ht="15.75" customHeight="1">
      <c r="A136" s="210" t="s">
        <v>85</v>
      </c>
      <c r="B136" s="210" t="s">
        <v>86</v>
      </c>
      <c r="C136" s="211" t="s">
        <v>433</v>
      </c>
      <c r="D136" s="212" t="str">
        <f>IFERROR(VLOOKUP(C136,ITEM_MASTER!$A:$C,2,0),"?")</f>
        <v>ccv</v>
      </c>
      <c r="E136" s="212" t="str">
        <f>IFERROR(VLOOKUP(C136,ITEM_MASTER!$A:$C,3,0),"?")</f>
        <v>dec</v>
      </c>
      <c r="F136" s="212" t="str">
        <f>IFERROR(VLOOKUP(C136,ITEM_MASTER!$A:$D,4,0),"?")</f>
        <v>Graphic Theme</v>
      </c>
      <c r="G136" s="212" t="str">
        <f>IFERROR(VLOOKUP($C136,ITEM_MASTER!$A:$I,5,0),"?")</f>
        <v>Họa Tiết Graphic</v>
      </c>
      <c r="H136" s="213">
        <v>1.0</v>
      </c>
      <c r="I136" s="212" t="str">
        <f>IFERROR(VLOOKUP($C136,ITEM_MASTER!$A:$N,7,0),"?")</f>
        <v>Common</v>
      </c>
      <c r="J136" s="212" t="str">
        <f>IFERROR(VLOOKUP($C136,ITEM_MASTER!$A:$N,8,0),"?")</f>
        <v>unreleased</v>
      </c>
      <c r="K136" s="212" t="str">
        <f>IFERROR(VLOOKUP($C136,ITEM_MASTER!$A:$N,9,0),"?")</f>
        <v>Post-Race Rewards</v>
      </c>
      <c r="L136" s="210"/>
    </row>
    <row r="137" ht="15.75" customHeight="1">
      <c r="A137" s="210" t="s">
        <v>85</v>
      </c>
      <c r="B137" s="210" t="s">
        <v>86</v>
      </c>
      <c r="C137" s="211" t="s">
        <v>434</v>
      </c>
      <c r="D137" s="212" t="str">
        <f>IFERROR(VLOOKUP(C137,ITEM_MASTER!$A:$C,2,0),"?")</f>
        <v>ccv</v>
      </c>
      <c r="E137" s="212" t="str">
        <f>IFERROR(VLOOKUP(C137,ITEM_MASTER!$A:$C,3,0),"?")</f>
        <v>dec</v>
      </c>
      <c r="F137" s="212" t="str">
        <f>IFERROR(VLOOKUP(C137,ITEM_MASTER!$A:$D,4,0),"?")</f>
        <v>Wraps</v>
      </c>
      <c r="G137" s="212" t="str">
        <f>IFERROR(VLOOKUP($C137,ITEM_MASTER!$A:$I,5,0),"?")</f>
        <v>Decal Phủ </v>
      </c>
      <c r="H137" s="213">
        <v>1.0</v>
      </c>
      <c r="I137" s="212" t="str">
        <f>IFERROR(VLOOKUP($C137,ITEM_MASTER!$A:$N,7,0),"?")</f>
        <v>Common</v>
      </c>
      <c r="J137" s="212" t="str">
        <f>IFERROR(VLOOKUP($C137,ITEM_MASTER!$A:$N,8,0),"?")</f>
        <v>unreleased</v>
      </c>
      <c r="K137" s="212" t="str">
        <f>IFERROR(VLOOKUP($C137,ITEM_MASTER!$A:$N,9,0),"?")</f>
        <v>Post-Race Rewards</v>
      </c>
      <c r="L137" s="210"/>
    </row>
    <row r="138" ht="15.75" customHeight="1">
      <c r="A138" s="210" t="s">
        <v>85</v>
      </c>
      <c r="B138" s="210" t="s">
        <v>86</v>
      </c>
      <c r="C138" s="211" t="s">
        <v>435</v>
      </c>
      <c r="D138" s="212" t="str">
        <f>IFERROR(VLOOKUP(C138,ITEM_MASTER!$A:$C,2,0),"?")</f>
        <v>ccv</v>
      </c>
      <c r="E138" s="212" t="str">
        <f>IFERROR(VLOOKUP(C138,ITEM_MASTER!$A:$C,3,0),"?")</f>
        <v>dec</v>
      </c>
      <c r="F138" s="212" t="str">
        <f>IFERROR(VLOOKUP(C138,ITEM_MASTER!$A:$D,4,0),"?")</f>
        <v>Stripe Line</v>
      </c>
      <c r="G138" s="212" t="str">
        <f>IFERROR(VLOOKUP($C138,ITEM_MASTER!$A:$I,5,0),"?")</f>
        <v>Sọc Stripe</v>
      </c>
      <c r="H138" s="213">
        <v>1.0</v>
      </c>
      <c r="I138" s="212" t="str">
        <f>IFERROR(VLOOKUP($C138,ITEM_MASTER!$A:$N,7,0),"?")</f>
        <v>UnCommon</v>
      </c>
      <c r="J138" s="212" t="str">
        <f>IFERROR(VLOOKUP($C138,ITEM_MASTER!$A:$N,8,0),"?")</f>
        <v>unreleased</v>
      </c>
      <c r="K138" s="212" t="str">
        <f>IFERROR(VLOOKUP($C138,ITEM_MASTER!$A:$N,9,0),"?")</f>
        <v>Post-Race Rewards</v>
      </c>
      <c r="L138" s="210"/>
    </row>
    <row r="139" ht="15.75" customHeight="1">
      <c r="A139" s="210" t="s">
        <v>85</v>
      </c>
      <c r="B139" s="210" t="s">
        <v>86</v>
      </c>
      <c r="C139" s="211" t="s">
        <v>436</v>
      </c>
      <c r="D139" s="212" t="str">
        <f>IFERROR(VLOOKUP(C139,ITEM_MASTER!$A:$C,2,0),"?")</f>
        <v>ccv</v>
      </c>
      <c r="E139" s="212" t="str">
        <f>IFERROR(VLOOKUP(C139,ITEM_MASTER!$A:$C,3,0),"?")</f>
        <v>dec</v>
      </c>
      <c r="F139" s="212" t="str">
        <f>IFERROR(VLOOKUP(C139,ITEM_MASTER!$A:$D,4,0),"?")</f>
        <v>Logo Sponsorship</v>
      </c>
      <c r="G139" s="212" t="str">
        <f>IFERROR(VLOOKUP($C139,ITEM_MASTER!$A:$I,5,0),"?")</f>
        <v>Logo Tài Trợ</v>
      </c>
      <c r="H139" s="213">
        <v>1.0</v>
      </c>
      <c r="I139" s="212" t="str">
        <f>IFERROR(VLOOKUP($C139,ITEM_MASTER!$A:$N,7,0),"?")</f>
        <v>UnCommon</v>
      </c>
      <c r="J139" s="212" t="str">
        <f>IFERROR(VLOOKUP($C139,ITEM_MASTER!$A:$N,8,0),"?")</f>
        <v>unreleased</v>
      </c>
      <c r="K139" s="212" t="str">
        <f>IFERROR(VLOOKUP($C139,ITEM_MASTER!$A:$N,9,0),"?")</f>
        <v>Post-Race Rewards</v>
      </c>
      <c r="L139" s="210"/>
    </row>
    <row r="140" ht="15.75" customHeight="1">
      <c r="A140" s="210" t="s">
        <v>85</v>
      </c>
      <c r="B140" s="210" t="s">
        <v>86</v>
      </c>
      <c r="C140" s="211" t="s">
        <v>437</v>
      </c>
      <c r="D140" s="212" t="str">
        <f>IFERROR(VLOOKUP(C140,ITEM_MASTER!$A:$C,2,0),"?")</f>
        <v>ccv</v>
      </c>
      <c r="E140" s="212" t="str">
        <f>IFERROR(VLOOKUP(C140,ITEM_MASTER!$A:$C,3,0),"?")</f>
        <v>dec</v>
      </c>
      <c r="F140" s="212" t="str">
        <f>IFERROR(VLOOKUP(C140,ITEM_MASTER!$A:$D,4,0),"?")</f>
        <v>Graphic Theme</v>
      </c>
      <c r="G140" s="212" t="str">
        <f>IFERROR(VLOOKUP($C140,ITEM_MASTER!$A:$I,5,0),"?")</f>
        <v>Họa Tiết Graphic</v>
      </c>
      <c r="H140" s="213">
        <v>1.0</v>
      </c>
      <c r="I140" s="212" t="str">
        <f>IFERROR(VLOOKUP($C140,ITEM_MASTER!$A:$N,7,0),"?")</f>
        <v>Common</v>
      </c>
      <c r="J140" s="212" t="str">
        <f>IFERROR(VLOOKUP($C140,ITEM_MASTER!$A:$N,8,0),"?")</f>
        <v>unreleased</v>
      </c>
      <c r="K140" s="212" t="str">
        <f>IFERROR(VLOOKUP($C140,ITEM_MASTER!$A:$N,9,0),"?")</f>
        <v>Post-Race Rewards</v>
      </c>
      <c r="L140" s="210"/>
    </row>
    <row r="141" ht="15.75" customHeight="1">
      <c r="A141" s="210" t="s">
        <v>85</v>
      </c>
      <c r="B141" s="210" t="s">
        <v>86</v>
      </c>
      <c r="C141" s="211" t="s">
        <v>438</v>
      </c>
      <c r="D141" s="212" t="str">
        <f>IFERROR(VLOOKUP(C141,ITEM_MASTER!$A:$C,2,0),"?")</f>
        <v>ccv</v>
      </c>
      <c r="E141" s="212" t="str">
        <f>IFERROR(VLOOKUP(C141,ITEM_MASTER!$A:$C,3,0),"?")</f>
        <v>dec</v>
      </c>
      <c r="F141" s="212" t="str">
        <f>IFERROR(VLOOKUP(C141,ITEM_MASTER!$A:$D,4,0),"?")</f>
        <v>Wraps</v>
      </c>
      <c r="G141" s="212" t="str">
        <f>IFERROR(VLOOKUP($C141,ITEM_MASTER!$A:$I,5,0),"?")</f>
        <v>Decal Phủ </v>
      </c>
      <c r="H141" s="213">
        <v>1.0</v>
      </c>
      <c r="I141" s="212" t="str">
        <f>IFERROR(VLOOKUP($C141,ITEM_MASTER!$A:$N,7,0),"?")</f>
        <v>Common</v>
      </c>
      <c r="J141" s="212" t="str">
        <f>IFERROR(VLOOKUP($C141,ITEM_MASTER!$A:$N,8,0),"?")</f>
        <v>unreleased</v>
      </c>
      <c r="K141" s="212" t="str">
        <f>IFERROR(VLOOKUP($C141,ITEM_MASTER!$A:$N,9,0),"?")</f>
        <v>Post-Race Rewards</v>
      </c>
      <c r="L141" s="210"/>
    </row>
    <row r="142" ht="15.75" customHeight="1">
      <c r="A142" s="210" t="s">
        <v>85</v>
      </c>
      <c r="B142" s="210" t="s">
        <v>86</v>
      </c>
      <c r="C142" s="211" t="s">
        <v>491</v>
      </c>
      <c r="D142" s="212" t="str">
        <f>IFERROR(VLOOKUP(C142,ITEM_MASTER!$A:$C,2,0),"?")</f>
        <v>ccp</v>
      </c>
      <c r="E142" s="212" t="str">
        <f>IFERROR(VLOOKUP(C142,ITEM_MASTER!$A:$C,3,0),"?")</f>
        <v>import</v>
      </c>
      <c r="F142" s="212" t="str">
        <f>IFERROR(VLOOKUP(C142,ITEM_MASTER!$A:$D,4,0),"?")</f>
        <v>Upgrade Part</v>
      </c>
      <c r="G142" s="212" t="str">
        <f>IFERROR(VLOOKUP($C142,ITEM_MASTER!$A:$I,5,0),"?")</f>
        <v>Gói nâng cấp xe</v>
      </c>
      <c r="H142" s="213">
        <v>1.0</v>
      </c>
      <c r="I142" s="212" t="str">
        <f>IFERROR(VLOOKUP($C142,ITEM_MASTER!$A:$N,7,0),"?")</f>
        <v>UnCommon</v>
      </c>
      <c r="J142" s="212" t="str">
        <f>IFERROR(VLOOKUP($C142,ITEM_MASTER!$A:$N,8,0),"?")</f>
        <v>unreleased</v>
      </c>
      <c r="K142" s="212" t="str">
        <f>IFERROR(VLOOKUP($C142,ITEM_MASTER!$A:$N,9,0),"?")</f>
        <v>Post-Race Rewards</v>
      </c>
      <c r="L142" s="210"/>
    </row>
    <row r="143" ht="15.75" customHeight="1">
      <c r="A143" s="210"/>
      <c r="B143" s="210"/>
      <c r="C143" s="210"/>
      <c r="D143" s="212" t="str">
        <f>IFERROR(VLOOKUP(C143,ITEM_MASTER!$A:$C,2,0),"?")</f>
        <v>?</v>
      </c>
      <c r="E143" s="212" t="str">
        <f>IFERROR(VLOOKUP(C143,ITEM_MASTER!$A:$C,3,0),"?")</f>
        <v>?</v>
      </c>
      <c r="F143" s="212" t="str">
        <f>IFERROR(VLOOKUP(C143,ITEM_MASTER!$A:$D,4,0),"?")</f>
        <v>?</v>
      </c>
      <c r="G143" s="212" t="str">
        <f>IFERROR(VLOOKUP($C143,ITEM_MASTER!$A:$I,5,0),"?")</f>
        <v>?</v>
      </c>
      <c r="H143" s="212"/>
      <c r="I143" s="212"/>
      <c r="J143" s="212"/>
      <c r="K143" s="212"/>
      <c r="L143" s="210"/>
    </row>
    <row r="144" ht="15.75" customHeight="1">
      <c r="A144" s="210"/>
      <c r="B144" s="214"/>
      <c r="C144" s="214"/>
      <c r="D144" s="212" t="str">
        <f>IFERROR(VLOOKUP(C144,ITEM_MASTER!$A:$C,2,0),"?")</f>
        <v>?</v>
      </c>
      <c r="E144" s="212" t="str">
        <f>IFERROR(VLOOKUP(C144,ITEM_MASTER!$A:$C,3,0),"?")</f>
        <v>?</v>
      </c>
      <c r="F144" s="212" t="str">
        <f>IFERROR(VLOOKUP(C144,ITEM_MASTER!$A:$D,4,0),"?")</f>
        <v>?</v>
      </c>
      <c r="G144" s="212" t="str">
        <f>IFERROR(VLOOKUP($C144,ITEM_MASTER!$A:$I,5,0),"?")</f>
        <v>?</v>
      </c>
      <c r="H144" s="215"/>
      <c r="I144" s="212"/>
      <c r="J144" s="212"/>
      <c r="K144" s="212"/>
      <c r="L144" s="214"/>
    </row>
    <row r="145" ht="15.75" customHeight="1">
      <c r="A145" s="135"/>
      <c r="D145" s="216" t="str">
        <f>IFERROR(VLOOKUP(C145,ITEM_MASTER!$A:$C,2,0),"?")</f>
        <v>?</v>
      </c>
      <c r="E145" s="216" t="str">
        <f>IFERROR(VLOOKUP(C145,ITEM_MASTER!$A:$C,3,0),"?")</f>
        <v>?</v>
      </c>
      <c r="F145" s="216" t="str">
        <f>IFERROR(VLOOKUP(C145,ITEM_MASTER!$A:$D,4,0),"?")</f>
        <v>?</v>
      </c>
      <c r="G145" s="216" t="str">
        <f>IFERROR(VLOOKUP($C145,ITEM_MASTER!$A:$I,5,0),"?")</f>
        <v>?</v>
      </c>
      <c r="I145" s="135"/>
      <c r="J145" s="135"/>
      <c r="K145" s="135"/>
    </row>
    <row r="146" ht="15.75" customHeight="1">
      <c r="A146" s="135"/>
      <c r="D146" s="216" t="str">
        <f>IFERROR(VLOOKUP(C146,ITEM_MASTER!$A:$C,2,0),"?")</f>
        <v>?</v>
      </c>
      <c r="E146" s="216" t="str">
        <f>IFERROR(VLOOKUP(C146,ITEM_MASTER!$A:$C,3,0),"?")</f>
        <v>?</v>
      </c>
      <c r="F146" s="216" t="str">
        <f>IFERROR(VLOOKUP(C146,ITEM_MASTER!$A:$D,4,0),"?")</f>
        <v>?</v>
      </c>
      <c r="G146" s="216" t="str">
        <f>IFERROR(VLOOKUP($C146,ITEM_MASTER!$A:$I,5,0),"?")</f>
        <v>?</v>
      </c>
      <c r="I146" s="135"/>
      <c r="J146" s="135"/>
      <c r="K146" s="135"/>
    </row>
    <row r="147" ht="15.75" customHeight="1">
      <c r="A147" s="135"/>
      <c r="D147" s="216" t="str">
        <f>IFERROR(VLOOKUP(C147,ITEM_MASTER!$A:$C,2,0),"?")</f>
        <v>?</v>
      </c>
      <c r="E147" s="216" t="str">
        <f>IFERROR(VLOOKUP(C147,ITEM_MASTER!$A:$C,3,0),"?")</f>
        <v>?</v>
      </c>
      <c r="F147" s="216" t="str">
        <f>IFERROR(VLOOKUP(C147,ITEM_MASTER!$A:$D,4,0),"?")</f>
        <v>?</v>
      </c>
      <c r="G147" s="216" t="str">
        <f>IFERROR(VLOOKUP($C147,ITEM_MASTER!$A:$I,5,0),"?")</f>
        <v>?</v>
      </c>
      <c r="I147" s="135"/>
      <c r="J147" s="135"/>
      <c r="K147" s="135"/>
    </row>
    <row r="148" ht="15.75" customHeight="1">
      <c r="A148" s="135"/>
      <c r="D148" s="216" t="str">
        <f>IFERROR(VLOOKUP(C148,ITEM_MASTER!$A:$C,2,0),"?")</f>
        <v>?</v>
      </c>
      <c r="E148" s="216" t="str">
        <f>IFERROR(VLOOKUP(C148,ITEM_MASTER!$A:$C,3,0),"?")</f>
        <v>?</v>
      </c>
      <c r="F148" s="216" t="str">
        <f>IFERROR(VLOOKUP(C148,ITEM_MASTER!$A:$D,4,0),"?")</f>
        <v>?</v>
      </c>
      <c r="G148" s="216" t="str">
        <f>IFERROR(VLOOKUP($C148,ITEM_MASTER!$A:$I,5,0),"?")</f>
        <v>?</v>
      </c>
      <c r="I148" s="135"/>
      <c r="J148" s="135"/>
      <c r="K148" s="135"/>
    </row>
    <row r="149" ht="15.75" customHeight="1">
      <c r="A149" s="135"/>
      <c r="D149" s="216" t="str">
        <f>IFERROR(VLOOKUP(C149,ITEM_MASTER!$A:$C,2,0),"?")</f>
        <v>?</v>
      </c>
      <c r="E149" s="216" t="str">
        <f>IFERROR(VLOOKUP(C149,ITEM_MASTER!$A:$C,3,0),"?")</f>
        <v>?</v>
      </c>
      <c r="F149" s="216" t="str">
        <f>IFERROR(VLOOKUP(C149,ITEM_MASTER!$A:$D,4,0),"?")</f>
        <v>?</v>
      </c>
      <c r="G149" s="216" t="str">
        <f>IFERROR(VLOOKUP($C149,ITEM_MASTER!$A:$I,5,0),"?")</f>
        <v>?</v>
      </c>
      <c r="I149" s="135"/>
      <c r="J149" s="135"/>
      <c r="K149" s="135"/>
    </row>
    <row r="150" ht="15.75" customHeight="1">
      <c r="A150" s="135"/>
      <c r="D150" s="216" t="str">
        <f>IFERROR(VLOOKUP(C150,ITEM_MASTER!$A:$C,2,0),"?")</f>
        <v>?</v>
      </c>
      <c r="E150" s="216" t="str">
        <f>IFERROR(VLOOKUP(C150,ITEM_MASTER!$A:$C,3,0),"?")</f>
        <v>?</v>
      </c>
      <c r="F150" s="216" t="str">
        <f>IFERROR(VLOOKUP(C150,ITEM_MASTER!$A:$D,4,0),"?")</f>
        <v>?</v>
      </c>
      <c r="G150" s="216" t="str">
        <f>IFERROR(VLOOKUP($C150,ITEM_MASTER!$A:$I,5,0),"?")</f>
        <v>?</v>
      </c>
      <c r="I150" s="135"/>
      <c r="J150" s="135"/>
      <c r="K150" s="135"/>
    </row>
    <row r="151" ht="15.75" customHeight="1">
      <c r="A151" s="135"/>
      <c r="D151" s="216" t="str">
        <f>IFERROR(VLOOKUP(C151,ITEM_MASTER!$A:$C,2,0),"?")</f>
        <v>?</v>
      </c>
      <c r="E151" s="216" t="str">
        <f>IFERROR(VLOOKUP(C151,ITEM_MASTER!$A:$C,3,0),"?")</f>
        <v>?</v>
      </c>
      <c r="F151" s="216" t="str">
        <f>IFERROR(VLOOKUP(C151,ITEM_MASTER!$A:$D,4,0),"?")</f>
        <v>?</v>
      </c>
      <c r="G151" s="216" t="str">
        <f>IFERROR(VLOOKUP($C151,ITEM_MASTER!$A:$I,5,0),"?")</f>
        <v>?</v>
      </c>
      <c r="I151" s="135"/>
      <c r="J151" s="135"/>
      <c r="K151" s="135"/>
    </row>
    <row r="152" ht="15.75" customHeight="1">
      <c r="A152" s="135"/>
      <c r="D152" s="216" t="str">
        <f>IFERROR(VLOOKUP(C152,ITEM_MASTER!$A:$C,2,0),"?")</f>
        <v>?</v>
      </c>
      <c r="E152" s="216" t="str">
        <f>IFERROR(VLOOKUP(C152,ITEM_MASTER!$A:$C,3,0),"?")</f>
        <v>?</v>
      </c>
      <c r="F152" s="216" t="str">
        <f>IFERROR(VLOOKUP(C152,ITEM_MASTER!$A:$D,4,0),"?")</f>
        <v>?</v>
      </c>
      <c r="G152" s="216" t="str">
        <f>IFERROR(VLOOKUP($C152,ITEM_MASTER!$A:$I,5,0),"?")</f>
        <v>?</v>
      </c>
      <c r="I152" s="135"/>
      <c r="J152" s="135"/>
      <c r="K152" s="135"/>
    </row>
    <row r="153" ht="15.75" customHeight="1">
      <c r="A153" s="135"/>
      <c r="D153" s="216" t="str">
        <f>IFERROR(VLOOKUP(C153,ITEM_MASTER!$A:$C,2,0),"?")</f>
        <v>?</v>
      </c>
      <c r="E153" s="216" t="str">
        <f>IFERROR(VLOOKUP(C153,ITEM_MASTER!$A:$C,3,0),"?")</f>
        <v>?</v>
      </c>
      <c r="F153" s="216" t="str">
        <f>IFERROR(VLOOKUP(C153,ITEM_MASTER!$A:$D,4,0),"?")</f>
        <v>?</v>
      </c>
      <c r="G153" s="216" t="str">
        <f>IFERROR(VLOOKUP($C153,ITEM_MASTER!$A:$I,5,0),"?")</f>
        <v>?</v>
      </c>
      <c r="I153" s="135"/>
      <c r="J153" s="135"/>
      <c r="K153" s="135"/>
    </row>
    <row r="154" ht="15.75" customHeight="1">
      <c r="A154" s="135"/>
      <c r="D154" s="216" t="str">
        <f>IFERROR(VLOOKUP(C154,ITEM_MASTER!$A:$C,2,0),"?")</f>
        <v>?</v>
      </c>
      <c r="E154" s="216" t="str">
        <f>IFERROR(VLOOKUP(C154,ITEM_MASTER!$A:$C,3,0),"?")</f>
        <v>?</v>
      </c>
      <c r="F154" s="216" t="str">
        <f>IFERROR(VLOOKUP(C154,ITEM_MASTER!$A:$D,4,0),"?")</f>
        <v>?</v>
      </c>
      <c r="G154" s="216" t="str">
        <f>IFERROR(VLOOKUP($C154,ITEM_MASTER!$A:$I,5,0),"?")</f>
        <v>?</v>
      </c>
      <c r="I154" s="135"/>
      <c r="J154" s="135"/>
      <c r="K154" s="135"/>
    </row>
    <row r="155" ht="15.75" customHeight="1">
      <c r="A155" s="135"/>
      <c r="D155" s="216" t="str">
        <f>IFERROR(VLOOKUP(C155,ITEM_MASTER!$A:$C,2,0),"?")</f>
        <v>?</v>
      </c>
      <c r="E155" s="216" t="str">
        <f>IFERROR(VLOOKUP(C155,ITEM_MASTER!$A:$C,3,0),"?")</f>
        <v>?</v>
      </c>
      <c r="F155" s="216" t="str">
        <f>IFERROR(VLOOKUP(C155,ITEM_MASTER!$A:$D,4,0),"?")</f>
        <v>?</v>
      </c>
      <c r="G155" s="216" t="str">
        <f>IFERROR(VLOOKUP($C155,ITEM_MASTER!$A:$I,5,0),"?")</f>
        <v>?</v>
      </c>
      <c r="I155" s="135"/>
      <c r="J155" s="135"/>
      <c r="K155" s="135"/>
    </row>
    <row r="156" ht="15.75" customHeight="1">
      <c r="A156" s="135"/>
      <c r="D156" s="216" t="str">
        <f>IFERROR(VLOOKUP(C156,ITEM_MASTER!$A:$C,2,0),"?")</f>
        <v>?</v>
      </c>
      <c r="E156" s="216" t="str">
        <f>IFERROR(VLOOKUP(C156,ITEM_MASTER!$A:$C,3,0),"?")</f>
        <v>?</v>
      </c>
      <c r="F156" s="216" t="str">
        <f>IFERROR(VLOOKUP(C156,ITEM_MASTER!$A:$D,4,0),"?")</f>
        <v>?</v>
      </c>
      <c r="G156" s="216" t="str">
        <f>IFERROR(VLOOKUP($C156,ITEM_MASTER!$A:$I,5,0),"?")</f>
        <v>?</v>
      </c>
      <c r="I156" s="135"/>
      <c r="J156" s="135"/>
      <c r="K156" s="135"/>
    </row>
    <row r="157" ht="15.75" customHeight="1">
      <c r="A157" s="135"/>
      <c r="D157" s="216" t="str">
        <f>IFERROR(VLOOKUP(C157,ITEM_MASTER!$A:$C,2,0),"?")</f>
        <v>?</v>
      </c>
      <c r="E157" s="216" t="str">
        <f>IFERROR(VLOOKUP(C157,ITEM_MASTER!$A:$C,3,0),"?")</f>
        <v>?</v>
      </c>
      <c r="F157" s="216" t="str">
        <f>IFERROR(VLOOKUP(C157,ITEM_MASTER!$A:$D,4,0),"?")</f>
        <v>?</v>
      </c>
      <c r="G157" s="216" t="str">
        <f>IFERROR(VLOOKUP($C157,ITEM_MASTER!$A:$I,5,0),"?")</f>
        <v>?</v>
      </c>
      <c r="I157" s="135"/>
      <c r="J157" s="135"/>
      <c r="K157" s="135"/>
    </row>
    <row r="158" ht="15.75" customHeight="1">
      <c r="A158" s="135"/>
      <c r="D158" s="216" t="str">
        <f>IFERROR(VLOOKUP(C158,ITEM_MASTER!$A:$C,2,0),"?")</f>
        <v>?</v>
      </c>
      <c r="E158" s="216" t="str">
        <f>IFERROR(VLOOKUP(C158,ITEM_MASTER!$A:$C,3,0),"?")</f>
        <v>?</v>
      </c>
      <c r="F158" s="216" t="str">
        <f>IFERROR(VLOOKUP(C158,ITEM_MASTER!$A:$D,4,0),"?")</f>
        <v>?</v>
      </c>
      <c r="G158" s="216" t="str">
        <f>IFERROR(VLOOKUP($C158,ITEM_MASTER!$A:$I,5,0),"?")</f>
        <v>?</v>
      </c>
      <c r="I158" s="135"/>
      <c r="J158" s="135"/>
      <c r="K158" s="135"/>
    </row>
    <row r="159" ht="15.75" customHeight="1">
      <c r="A159" s="135"/>
      <c r="D159" s="216" t="str">
        <f>IFERROR(VLOOKUP(C159,ITEM_MASTER!$A:$C,2,0),"?")</f>
        <v>?</v>
      </c>
      <c r="E159" s="216" t="str">
        <f>IFERROR(VLOOKUP(C159,ITEM_MASTER!$A:$C,3,0),"?")</f>
        <v>?</v>
      </c>
      <c r="F159" s="216" t="str">
        <f>IFERROR(VLOOKUP(C159,ITEM_MASTER!$A:$D,4,0),"?")</f>
        <v>?</v>
      </c>
      <c r="G159" s="216" t="str">
        <f>IFERROR(VLOOKUP($C159,ITEM_MASTER!$A:$I,5,0),"?")</f>
        <v>?</v>
      </c>
      <c r="I159" s="135"/>
      <c r="J159" s="135"/>
      <c r="K159" s="135"/>
    </row>
    <row r="160" ht="15.75" customHeight="1">
      <c r="A160" s="135"/>
      <c r="D160" s="216" t="str">
        <f>IFERROR(VLOOKUP(C160,ITEM_MASTER!$A:$C,2,0),"?")</f>
        <v>?</v>
      </c>
      <c r="E160" s="216" t="str">
        <f>IFERROR(VLOOKUP(C160,ITEM_MASTER!$A:$C,3,0),"?")</f>
        <v>?</v>
      </c>
      <c r="F160" s="216" t="str">
        <f>IFERROR(VLOOKUP(C160,ITEM_MASTER!$A:$D,4,0),"?")</f>
        <v>?</v>
      </c>
      <c r="G160" s="216" t="str">
        <f>IFERROR(VLOOKUP($C160,ITEM_MASTER!$A:$I,5,0),"?")</f>
        <v>?</v>
      </c>
      <c r="I160" s="135"/>
      <c r="J160" s="135"/>
      <c r="K160" s="135"/>
    </row>
    <row r="161" ht="15.75" customHeight="1">
      <c r="A161" s="135"/>
      <c r="D161" s="216" t="str">
        <f>IFERROR(VLOOKUP(C161,ITEM_MASTER!$A:$C,2,0),"?")</f>
        <v>?</v>
      </c>
      <c r="E161" s="216" t="str">
        <f>IFERROR(VLOOKUP(C161,ITEM_MASTER!$A:$C,3,0),"?")</f>
        <v>?</v>
      </c>
      <c r="F161" s="216" t="str">
        <f>IFERROR(VLOOKUP(C161,ITEM_MASTER!$A:$D,4,0),"?")</f>
        <v>?</v>
      </c>
      <c r="G161" s="216" t="str">
        <f>IFERROR(VLOOKUP($C161,ITEM_MASTER!$A:$I,5,0),"?")</f>
        <v>?</v>
      </c>
      <c r="I161" s="135"/>
      <c r="J161" s="135"/>
      <c r="K161" s="135"/>
    </row>
    <row r="162" ht="15.75" customHeight="1">
      <c r="A162" s="135"/>
      <c r="D162" s="216" t="str">
        <f>IFERROR(VLOOKUP(C162,ITEM_MASTER!$A:$C,2,0),"?")</f>
        <v>?</v>
      </c>
      <c r="E162" s="216" t="str">
        <f>IFERROR(VLOOKUP(C162,ITEM_MASTER!$A:$C,3,0),"?")</f>
        <v>?</v>
      </c>
      <c r="F162" s="216" t="str">
        <f>IFERROR(VLOOKUP(C162,ITEM_MASTER!$A:$D,4,0),"?")</f>
        <v>?</v>
      </c>
      <c r="G162" s="216" t="str">
        <f>IFERROR(VLOOKUP($C162,ITEM_MASTER!$A:$I,5,0),"?")</f>
        <v>?</v>
      </c>
      <c r="I162" s="135"/>
      <c r="J162" s="135"/>
      <c r="K162" s="135"/>
    </row>
    <row r="163" ht="15.75" customHeight="1">
      <c r="A163" s="135"/>
      <c r="D163" s="216" t="str">
        <f>IFERROR(VLOOKUP(C163,ITEM_MASTER!$A:$C,2,0),"?")</f>
        <v>?</v>
      </c>
      <c r="E163" s="216" t="str">
        <f>IFERROR(VLOOKUP(C163,ITEM_MASTER!$A:$C,3,0),"?")</f>
        <v>?</v>
      </c>
      <c r="F163" s="216" t="str">
        <f>IFERROR(VLOOKUP(C163,ITEM_MASTER!$A:$D,4,0),"?")</f>
        <v>?</v>
      </c>
      <c r="G163" s="216" t="str">
        <f>IFERROR(VLOOKUP($C163,ITEM_MASTER!$A:$I,5,0),"?")</f>
        <v>?</v>
      </c>
      <c r="I163" s="135"/>
      <c r="J163" s="135"/>
      <c r="K163" s="135"/>
    </row>
    <row r="164" ht="15.75" customHeight="1">
      <c r="A164" s="135"/>
      <c r="D164" s="216" t="str">
        <f>IFERROR(VLOOKUP(C164,ITEM_MASTER!$A:$C,2,0),"?")</f>
        <v>?</v>
      </c>
      <c r="E164" s="216" t="str">
        <f>IFERROR(VLOOKUP(C164,ITEM_MASTER!$A:$C,3,0),"?")</f>
        <v>?</v>
      </c>
      <c r="F164" s="216" t="str">
        <f>IFERROR(VLOOKUP(C164,ITEM_MASTER!$A:$D,4,0),"?")</f>
        <v>?</v>
      </c>
      <c r="G164" s="216" t="str">
        <f>IFERROR(VLOOKUP($C164,ITEM_MASTER!$A:$I,5,0),"?")</f>
        <v>?</v>
      </c>
      <c r="I164" s="135"/>
      <c r="J164" s="135"/>
      <c r="K164" s="135"/>
    </row>
    <row r="165" ht="15.75" customHeight="1">
      <c r="A165" s="135"/>
      <c r="D165" s="216" t="str">
        <f>IFERROR(VLOOKUP(C165,ITEM_MASTER!$A:$C,2,0),"?")</f>
        <v>?</v>
      </c>
      <c r="E165" s="216" t="str">
        <f>IFERROR(VLOOKUP(C165,ITEM_MASTER!$A:$C,3,0),"?")</f>
        <v>?</v>
      </c>
      <c r="F165" s="216" t="str">
        <f>IFERROR(VLOOKUP(C165,ITEM_MASTER!$A:$D,4,0),"?")</f>
        <v>?</v>
      </c>
      <c r="G165" s="216" t="str">
        <f>IFERROR(VLOOKUP($C165,ITEM_MASTER!$A:$I,5,0),"?")</f>
        <v>?</v>
      </c>
      <c r="I165" s="135"/>
      <c r="J165" s="135"/>
      <c r="K165" s="135"/>
    </row>
    <row r="166" ht="15.75" customHeight="1">
      <c r="A166" s="135"/>
      <c r="D166" s="216" t="str">
        <f>IFERROR(VLOOKUP(C166,ITEM_MASTER!$A:$C,2,0),"?")</f>
        <v>?</v>
      </c>
      <c r="E166" s="216" t="str">
        <f>IFERROR(VLOOKUP(C166,ITEM_MASTER!$A:$C,3,0),"?")</f>
        <v>?</v>
      </c>
      <c r="F166" s="216" t="str">
        <f>IFERROR(VLOOKUP(C166,ITEM_MASTER!$A:$D,4,0),"?")</f>
        <v>?</v>
      </c>
      <c r="G166" s="216" t="str">
        <f>IFERROR(VLOOKUP($C166,ITEM_MASTER!$A:$I,5,0),"?")</f>
        <v>?</v>
      </c>
      <c r="I166" s="135"/>
      <c r="J166" s="135"/>
      <c r="K166" s="135"/>
    </row>
    <row r="167" ht="15.75" customHeight="1">
      <c r="A167" s="135"/>
      <c r="D167" s="216" t="str">
        <f>IFERROR(VLOOKUP(C167,ITEM_MASTER!$A:$C,2,0),"?")</f>
        <v>?</v>
      </c>
      <c r="E167" s="216" t="str">
        <f>IFERROR(VLOOKUP(C167,ITEM_MASTER!$A:$C,3,0),"?")</f>
        <v>?</v>
      </c>
      <c r="F167" s="216" t="str">
        <f>IFERROR(VLOOKUP(C167,ITEM_MASTER!$A:$D,4,0),"?")</f>
        <v>?</v>
      </c>
      <c r="G167" s="216" t="str">
        <f>IFERROR(VLOOKUP($C167,ITEM_MASTER!$A:$I,5,0),"?")</f>
        <v>?</v>
      </c>
      <c r="I167" s="135"/>
      <c r="J167" s="135"/>
      <c r="K167" s="135"/>
    </row>
    <row r="168" ht="15.75" customHeight="1">
      <c r="A168" s="135"/>
      <c r="D168" s="216" t="str">
        <f>IFERROR(VLOOKUP(C168,ITEM_MASTER!$A:$C,2,0),"?")</f>
        <v>?</v>
      </c>
      <c r="E168" s="216" t="str">
        <f>IFERROR(VLOOKUP(C168,ITEM_MASTER!$A:$C,3,0),"?")</f>
        <v>?</v>
      </c>
      <c r="F168" s="216" t="str">
        <f>IFERROR(VLOOKUP(C168,ITEM_MASTER!$A:$D,4,0),"?")</f>
        <v>?</v>
      </c>
      <c r="G168" s="216" t="str">
        <f>IFERROR(VLOOKUP($C168,ITEM_MASTER!$A:$I,5,0),"?")</f>
        <v>?</v>
      </c>
      <c r="I168" s="135"/>
      <c r="J168" s="135"/>
      <c r="K168" s="135"/>
    </row>
    <row r="169" ht="15.75" customHeight="1">
      <c r="A169" s="135"/>
      <c r="D169" s="216" t="str">
        <f>IFERROR(VLOOKUP(C169,ITEM_MASTER!$A:$C,2,0),"?")</f>
        <v>?</v>
      </c>
      <c r="E169" s="216" t="str">
        <f>IFERROR(VLOOKUP(C169,ITEM_MASTER!$A:$C,3,0),"?")</f>
        <v>?</v>
      </c>
      <c r="F169" s="216" t="str">
        <f>IFERROR(VLOOKUP(C169,ITEM_MASTER!$A:$D,4,0),"?")</f>
        <v>?</v>
      </c>
      <c r="G169" s="216" t="str">
        <f>IFERROR(VLOOKUP($C169,ITEM_MASTER!$A:$I,5,0),"?")</f>
        <v>?</v>
      </c>
      <c r="I169" s="135"/>
      <c r="J169" s="135"/>
      <c r="K169" s="135"/>
    </row>
    <row r="170" ht="15.75" customHeight="1">
      <c r="A170" s="135"/>
      <c r="D170" s="216" t="str">
        <f>IFERROR(VLOOKUP(C170,ITEM_MASTER!$A:$C,2,0),"?")</f>
        <v>?</v>
      </c>
      <c r="E170" s="216" t="str">
        <f>IFERROR(VLOOKUP(C170,ITEM_MASTER!$A:$C,3,0),"?")</f>
        <v>?</v>
      </c>
      <c r="F170" s="216" t="str">
        <f>IFERROR(VLOOKUP(C170,ITEM_MASTER!$A:$D,4,0),"?")</f>
        <v>?</v>
      </c>
      <c r="G170" s="216" t="str">
        <f>IFERROR(VLOOKUP($C170,ITEM_MASTER!$A:$I,5,0),"?")</f>
        <v>?</v>
      </c>
      <c r="I170" s="135"/>
      <c r="J170" s="135"/>
      <c r="K170" s="135"/>
    </row>
    <row r="171" ht="15.75" customHeight="1">
      <c r="A171" s="135"/>
      <c r="D171" s="216" t="str">
        <f>IFERROR(VLOOKUP(C171,ITEM_MASTER!$A:$C,2,0),"?")</f>
        <v>?</v>
      </c>
      <c r="E171" s="216" t="str">
        <f>IFERROR(VLOOKUP(C171,ITEM_MASTER!$A:$C,3,0),"?")</f>
        <v>?</v>
      </c>
      <c r="F171" s="216" t="str">
        <f>IFERROR(VLOOKUP(C171,ITEM_MASTER!$A:$D,4,0),"?")</f>
        <v>?</v>
      </c>
      <c r="G171" s="216" t="str">
        <f>IFERROR(VLOOKUP($C171,ITEM_MASTER!$A:$I,5,0),"?")</f>
        <v>?</v>
      </c>
      <c r="I171" s="135"/>
      <c r="J171" s="135"/>
      <c r="K171" s="135"/>
    </row>
    <row r="172" ht="15.75" customHeight="1">
      <c r="A172" s="135"/>
      <c r="D172" s="216" t="str">
        <f>IFERROR(VLOOKUP(C172,ITEM_MASTER!$A:$C,2,0),"?")</f>
        <v>?</v>
      </c>
      <c r="E172" s="216" t="str">
        <f>IFERROR(VLOOKUP(C172,ITEM_MASTER!$A:$C,3,0),"?")</f>
        <v>?</v>
      </c>
      <c r="F172" s="216" t="str">
        <f>IFERROR(VLOOKUP(C172,ITEM_MASTER!$A:$D,4,0),"?")</f>
        <v>?</v>
      </c>
      <c r="G172" s="216" t="str">
        <f>IFERROR(VLOOKUP($C172,ITEM_MASTER!$A:$I,5,0),"?")</f>
        <v>?</v>
      </c>
      <c r="I172" s="135"/>
      <c r="J172" s="135"/>
      <c r="K172" s="135"/>
    </row>
    <row r="173" ht="15.75" customHeight="1">
      <c r="A173" s="135"/>
      <c r="D173" s="216" t="str">
        <f>IFERROR(VLOOKUP(C173,ITEM_MASTER!$A:$C,2,0),"?")</f>
        <v>?</v>
      </c>
      <c r="E173" s="216" t="str">
        <f>IFERROR(VLOOKUP(C173,ITEM_MASTER!$A:$C,3,0),"?")</f>
        <v>?</v>
      </c>
      <c r="F173" s="216" t="str">
        <f>IFERROR(VLOOKUP(C173,ITEM_MASTER!$A:$D,4,0),"?")</f>
        <v>?</v>
      </c>
      <c r="G173" s="216" t="str">
        <f>IFERROR(VLOOKUP($C173,ITEM_MASTER!$A:$I,5,0),"?")</f>
        <v>?</v>
      </c>
      <c r="I173" s="135"/>
      <c r="J173" s="135"/>
      <c r="K173" s="135"/>
    </row>
    <row r="174" ht="15.75" customHeight="1">
      <c r="A174" s="135"/>
      <c r="D174" s="216" t="str">
        <f>IFERROR(VLOOKUP(C174,ITEM_MASTER!$A:$C,2,0),"?")</f>
        <v>?</v>
      </c>
      <c r="E174" s="216" t="str">
        <f>IFERROR(VLOOKUP(C174,ITEM_MASTER!$A:$C,3,0),"?")</f>
        <v>?</v>
      </c>
      <c r="F174" s="216" t="str">
        <f>IFERROR(VLOOKUP(C174,ITEM_MASTER!$A:$D,4,0),"?")</f>
        <v>?</v>
      </c>
      <c r="G174" s="216" t="str">
        <f>IFERROR(VLOOKUP($C174,ITEM_MASTER!$A:$I,5,0),"?")</f>
        <v>?</v>
      </c>
      <c r="I174" s="135"/>
      <c r="J174" s="135"/>
      <c r="K174" s="135"/>
    </row>
    <row r="175" ht="15.75" customHeight="1">
      <c r="A175" s="135"/>
      <c r="D175" s="216" t="str">
        <f>IFERROR(VLOOKUP(C175,ITEM_MASTER!$A:$C,2,0),"?")</f>
        <v>?</v>
      </c>
      <c r="E175" s="216" t="str">
        <f>IFERROR(VLOOKUP(C175,ITEM_MASTER!$A:$C,3,0),"?")</f>
        <v>?</v>
      </c>
      <c r="F175" s="216" t="str">
        <f>IFERROR(VLOOKUP(C175,ITEM_MASTER!$A:$D,4,0),"?")</f>
        <v>?</v>
      </c>
      <c r="G175" s="216" t="str">
        <f>IFERROR(VLOOKUP($C175,ITEM_MASTER!$A:$I,5,0),"?")</f>
        <v>?</v>
      </c>
      <c r="I175" s="135"/>
      <c r="J175" s="135"/>
      <c r="K175" s="135"/>
    </row>
    <row r="176" ht="15.75" customHeight="1">
      <c r="A176" s="135"/>
      <c r="D176" s="216" t="str">
        <f>IFERROR(VLOOKUP(C176,ITEM_MASTER!$A:$C,2,0),"?")</f>
        <v>?</v>
      </c>
      <c r="E176" s="216" t="str">
        <f>IFERROR(VLOOKUP(C176,ITEM_MASTER!$A:$C,3,0),"?")</f>
        <v>?</v>
      </c>
      <c r="F176" s="216" t="str">
        <f>IFERROR(VLOOKUP(C176,ITEM_MASTER!$A:$D,4,0),"?")</f>
        <v>?</v>
      </c>
      <c r="G176" s="216" t="str">
        <f>IFERROR(VLOOKUP($C176,ITEM_MASTER!$A:$I,5,0),"?")</f>
        <v>?</v>
      </c>
      <c r="I176" s="135"/>
      <c r="J176" s="135"/>
      <c r="K176" s="135"/>
    </row>
    <row r="177" ht="15.75" customHeight="1">
      <c r="A177" s="135"/>
      <c r="D177" s="216" t="str">
        <f>IFERROR(VLOOKUP(C177,ITEM_MASTER!$A:$C,2,0),"?")</f>
        <v>?</v>
      </c>
      <c r="E177" s="216" t="str">
        <f>IFERROR(VLOOKUP(C177,ITEM_MASTER!$A:$C,3,0),"?")</f>
        <v>?</v>
      </c>
      <c r="F177" s="216" t="str">
        <f>IFERROR(VLOOKUP(C177,ITEM_MASTER!$A:$D,4,0),"?")</f>
        <v>?</v>
      </c>
      <c r="G177" s="216" t="str">
        <f>IFERROR(VLOOKUP($C177,ITEM_MASTER!$A:$I,5,0),"?")</f>
        <v>?</v>
      </c>
      <c r="I177" s="135"/>
      <c r="J177" s="135"/>
      <c r="K177" s="135"/>
    </row>
    <row r="178" ht="15.75" customHeight="1">
      <c r="A178" s="135"/>
      <c r="D178" s="216" t="str">
        <f>IFERROR(VLOOKUP(C178,ITEM_MASTER!$A:$C,2,0),"?")</f>
        <v>?</v>
      </c>
      <c r="E178" s="216" t="str">
        <f>IFERROR(VLOOKUP(C178,ITEM_MASTER!$A:$C,3,0),"?")</f>
        <v>?</v>
      </c>
      <c r="F178" s="216" t="str">
        <f>IFERROR(VLOOKUP(C178,ITEM_MASTER!$A:$D,4,0),"?")</f>
        <v>?</v>
      </c>
      <c r="G178" s="216" t="str">
        <f>IFERROR(VLOOKUP($C178,ITEM_MASTER!$A:$I,5,0),"?")</f>
        <v>?</v>
      </c>
      <c r="I178" s="135"/>
      <c r="J178" s="135"/>
      <c r="K178" s="135"/>
    </row>
    <row r="179" ht="15.75" customHeight="1">
      <c r="A179" s="135"/>
      <c r="D179" s="216" t="str">
        <f>IFERROR(VLOOKUP(C179,ITEM_MASTER!$A:$C,2,0),"?")</f>
        <v>?</v>
      </c>
      <c r="E179" s="216" t="str">
        <f>IFERROR(VLOOKUP(C179,ITEM_MASTER!$A:$C,3,0),"?")</f>
        <v>?</v>
      </c>
      <c r="F179" s="216" t="str">
        <f>IFERROR(VLOOKUP(C179,ITEM_MASTER!$A:$D,4,0),"?")</f>
        <v>?</v>
      </c>
      <c r="G179" s="216" t="str">
        <f>IFERROR(VLOOKUP($C179,ITEM_MASTER!$A:$I,5,0),"?")</f>
        <v>?</v>
      </c>
      <c r="I179" s="135"/>
      <c r="J179" s="135"/>
      <c r="K179" s="135"/>
    </row>
    <row r="180" ht="15.75" customHeight="1">
      <c r="A180" s="135"/>
      <c r="D180" s="216" t="str">
        <f>IFERROR(VLOOKUP(C180,ITEM_MASTER!$A:$C,2,0),"?")</f>
        <v>?</v>
      </c>
      <c r="E180" s="216" t="str">
        <f>IFERROR(VLOOKUP(C180,ITEM_MASTER!$A:$C,3,0),"?")</f>
        <v>?</v>
      </c>
      <c r="F180" s="216" t="str">
        <f>IFERROR(VLOOKUP(C180,ITEM_MASTER!$A:$D,4,0),"?")</f>
        <v>?</v>
      </c>
      <c r="G180" s="216" t="str">
        <f>IFERROR(VLOOKUP($C180,ITEM_MASTER!$A:$I,5,0),"?")</f>
        <v>?</v>
      </c>
      <c r="I180" s="135"/>
      <c r="J180" s="135"/>
      <c r="K180" s="135"/>
    </row>
    <row r="181" ht="15.75" customHeight="1">
      <c r="A181" s="135"/>
      <c r="D181" s="216" t="str">
        <f>IFERROR(VLOOKUP(C181,ITEM_MASTER!$A:$C,2,0),"?")</f>
        <v>?</v>
      </c>
      <c r="E181" s="216" t="str">
        <f>IFERROR(VLOOKUP(C181,ITEM_MASTER!$A:$C,3,0),"?")</f>
        <v>?</v>
      </c>
      <c r="F181" s="216" t="str">
        <f>IFERROR(VLOOKUP(C181,ITEM_MASTER!$A:$D,4,0),"?")</f>
        <v>?</v>
      </c>
      <c r="G181" s="216" t="str">
        <f>IFERROR(VLOOKUP($C181,ITEM_MASTER!$A:$I,5,0),"?")</f>
        <v>?</v>
      </c>
      <c r="I181" s="135"/>
      <c r="J181" s="135"/>
      <c r="K181" s="135"/>
    </row>
    <row r="182" ht="15.75" customHeight="1">
      <c r="A182" s="135"/>
      <c r="D182" s="216" t="str">
        <f>IFERROR(VLOOKUP(C182,ITEM_MASTER!$A:$C,2,0),"?")</f>
        <v>?</v>
      </c>
      <c r="E182" s="216" t="str">
        <f>IFERROR(VLOOKUP(C182,ITEM_MASTER!$A:$C,3,0),"?")</f>
        <v>?</v>
      </c>
      <c r="F182" s="216" t="str">
        <f>IFERROR(VLOOKUP(C182,ITEM_MASTER!$A:$D,4,0),"?")</f>
        <v>?</v>
      </c>
      <c r="G182" s="216" t="str">
        <f>IFERROR(VLOOKUP($C182,ITEM_MASTER!$A:$I,5,0),"?")</f>
        <v>?</v>
      </c>
      <c r="I182" s="135"/>
      <c r="J182" s="135"/>
      <c r="K182" s="135"/>
    </row>
    <row r="183" ht="15.75" customHeight="1">
      <c r="A183" s="135"/>
      <c r="D183" s="216" t="str">
        <f>IFERROR(VLOOKUP(C183,ITEM_MASTER!$A:$C,2,0),"?")</f>
        <v>?</v>
      </c>
      <c r="E183" s="216" t="str">
        <f>IFERROR(VLOOKUP(C183,ITEM_MASTER!$A:$C,3,0),"?")</f>
        <v>?</v>
      </c>
      <c r="F183" s="216" t="str">
        <f>IFERROR(VLOOKUP(C183,ITEM_MASTER!$A:$D,4,0),"?")</f>
        <v>?</v>
      </c>
      <c r="G183" s="216" t="str">
        <f>IFERROR(VLOOKUP($C183,ITEM_MASTER!$A:$I,5,0),"?")</f>
        <v>?</v>
      </c>
      <c r="I183" s="135"/>
      <c r="J183" s="135"/>
      <c r="K183" s="135"/>
    </row>
    <row r="184" ht="15.75" customHeight="1">
      <c r="A184" s="135"/>
      <c r="D184" s="216" t="str">
        <f>IFERROR(VLOOKUP(C184,ITEM_MASTER!$A:$C,2,0),"?")</f>
        <v>?</v>
      </c>
      <c r="E184" s="216" t="str">
        <f>IFERROR(VLOOKUP(C184,ITEM_MASTER!$A:$C,3,0),"?")</f>
        <v>?</v>
      </c>
      <c r="F184" s="216" t="str">
        <f>IFERROR(VLOOKUP(C184,ITEM_MASTER!$A:$D,4,0),"?")</f>
        <v>?</v>
      </c>
      <c r="G184" s="216" t="str">
        <f>IFERROR(VLOOKUP($C184,ITEM_MASTER!$A:$I,5,0),"?")</f>
        <v>?</v>
      </c>
      <c r="I184" s="135"/>
      <c r="J184" s="135"/>
      <c r="K184" s="135"/>
    </row>
    <row r="185" ht="15.75" customHeight="1">
      <c r="A185" s="135"/>
      <c r="D185" s="216" t="str">
        <f>IFERROR(VLOOKUP(C185,ITEM_MASTER!$A:$C,2,0),"?")</f>
        <v>?</v>
      </c>
      <c r="E185" s="216" t="str">
        <f>IFERROR(VLOOKUP(C185,ITEM_MASTER!$A:$C,3,0),"?")</f>
        <v>?</v>
      </c>
      <c r="F185" s="216" t="str">
        <f>IFERROR(VLOOKUP(C185,ITEM_MASTER!$A:$D,4,0),"?")</f>
        <v>?</v>
      </c>
      <c r="G185" s="216" t="str">
        <f>IFERROR(VLOOKUP($C185,ITEM_MASTER!$A:$I,5,0),"?")</f>
        <v>?</v>
      </c>
      <c r="I185" s="135"/>
      <c r="J185" s="135"/>
      <c r="K185" s="135"/>
    </row>
    <row r="186" ht="15.75" customHeight="1">
      <c r="A186" s="135"/>
      <c r="D186" s="216" t="str">
        <f>IFERROR(VLOOKUP(C186,ITEM_MASTER!$A:$C,2,0),"?")</f>
        <v>?</v>
      </c>
      <c r="E186" s="216" t="str">
        <f>IFERROR(VLOOKUP(C186,ITEM_MASTER!$A:$C,3,0),"?")</f>
        <v>?</v>
      </c>
      <c r="F186" s="216" t="str">
        <f>IFERROR(VLOOKUP(C186,ITEM_MASTER!$A:$D,4,0),"?")</f>
        <v>?</v>
      </c>
      <c r="G186" s="216" t="str">
        <f>IFERROR(VLOOKUP($C186,ITEM_MASTER!$A:$I,5,0),"?")</f>
        <v>?</v>
      </c>
      <c r="I186" s="135"/>
      <c r="J186" s="135"/>
      <c r="K186" s="135"/>
    </row>
    <row r="187" ht="15.75" customHeight="1">
      <c r="A187" s="135"/>
      <c r="D187" s="216" t="str">
        <f>IFERROR(VLOOKUP(C187,ITEM_MASTER!$A:$C,2,0),"?")</f>
        <v>?</v>
      </c>
      <c r="E187" s="216" t="str">
        <f>IFERROR(VLOOKUP(C187,ITEM_MASTER!$A:$C,3,0),"?")</f>
        <v>?</v>
      </c>
      <c r="F187" s="216" t="str">
        <f>IFERROR(VLOOKUP(C187,ITEM_MASTER!$A:$D,4,0),"?")</f>
        <v>?</v>
      </c>
      <c r="G187" s="216" t="str">
        <f>IFERROR(VLOOKUP($C187,ITEM_MASTER!$A:$I,5,0),"?")</f>
        <v>?</v>
      </c>
      <c r="I187" s="135"/>
      <c r="J187" s="135"/>
      <c r="K187" s="135"/>
    </row>
    <row r="188" ht="15.75" customHeight="1">
      <c r="A188" s="135"/>
      <c r="D188" s="216" t="str">
        <f>IFERROR(VLOOKUP(C188,ITEM_MASTER!$A:$C,2,0),"?")</f>
        <v>?</v>
      </c>
      <c r="E188" s="216" t="str">
        <f>IFERROR(VLOOKUP(C188,ITEM_MASTER!$A:$C,3,0),"?")</f>
        <v>?</v>
      </c>
      <c r="F188" s="216" t="str">
        <f>IFERROR(VLOOKUP(C188,ITEM_MASTER!$A:$D,4,0),"?")</f>
        <v>?</v>
      </c>
      <c r="G188" s="216" t="str">
        <f>IFERROR(VLOOKUP($C188,ITEM_MASTER!$A:$I,5,0),"?")</f>
        <v>?</v>
      </c>
      <c r="I188" s="135"/>
      <c r="J188" s="135"/>
      <c r="K188" s="135"/>
    </row>
    <row r="189" ht="15.75" customHeight="1">
      <c r="A189" s="135"/>
      <c r="D189" s="216" t="str">
        <f>IFERROR(VLOOKUP(C189,ITEM_MASTER!$A:$C,2,0),"?")</f>
        <v>?</v>
      </c>
      <c r="E189" s="216" t="str">
        <f>IFERROR(VLOOKUP(C189,ITEM_MASTER!$A:$C,3,0),"?")</f>
        <v>?</v>
      </c>
      <c r="F189" s="216" t="str">
        <f>IFERROR(VLOOKUP(C189,ITEM_MASTER!$A:$D,4,0),"?")</f>
        <v>?</v>
      </c>
      <c r="G189" s="216" t="str">
        <f>IFERROR(VLOOKUP($C189,ITEM_MASTER!$A:$I,5,0),"?")</f>
        <v>?</v>
      </c>
      <c r="I189" s="135"/>
      <c r="J189" s="135"/>
      <c r="K189" s="135"/>
    </row>
    <row r="190" ht="15.75" customHeight="1">
      <c r="A190" s="135"/>
      <c r="D190" s="216" t="str">
        <f>IFERROR(VLOOKUP(C190,ITEM_MASTER!$A:$C,2,0),"?")</f>
        <v>?</v>
      </c>
      <c r="E190" s="216" t="str">
        <f>IFERROR(VLOOKUP(C190,ITEM_MASTER!$A:$C,3,0),"?")</f>
        <v>?</v>
      </c>
      <c r="F190" s="216" t="str">
        <f>IFERROR(VLOOKUP(C190,ITEM_MASTER!$A:$D,4,0),"?")</f>
        <v>?</v>
      </c>
      <c r="G190" s="216" t="str">
        <f>IFERROR(VLOOKUP($C190,ITEM_MASTER!$A:$I,5,0),"?")</f>
        <v>?</v>
      </c>
      <c r="I190" s="135"/>
      <c r="J190" s="135"/>
      <c r="K190" s="135"/>
    </row>
    <row r="191" ht="15.75" customHeight="1">
      <c r="A191" s="135"/>
      <c r="D191" s="216" t="str">
        <f>IFERROR(VLOOKUP(C191,ITEM_MASTER!$A:$C,2,0),"?")</f>
        <v>?</v>
      </c>
      <c r="E191" s="216" t="str">
        <f>IFERROR(VLOOKUP(C191,ITEM_MASTER!$A:$C,3,0),"?")</f>
        <v>?</v>
      </c>
      <c r="F191" s="216" t="str">
        <f>IFERROR(VLOOKUP(C191,ITEM_MASTER!$A:$D,4,0),"?")</f>
        <v>?</v>
      </c>
      <c r="G191" s="216" t="str">
        <f>IFERROR(VLOOKUP($C191,ITEM_MASTER!$A:$I,5,0),"?")</f>
        <v>?</v>
      </c>
      <c r="I191" s="135"/>
      <c r="J191" s="135"/>
      <c r="K191" s="135"/>
    </row>
    <row r="192" ht="15.75" customHeight="1">
      <c r="A192" s="135"/>
      <c r="D192" s="216" t="str">
        <f>IFERROR(VLOOKUP(C192,ITEM_MASTER!$A:$C,2,0),"?")</f>
        <v>?</v>
      </c>
      <c r="E192" s="216" t="str">
        <f>IFERROR(VLOOKUP(C192,ITEM_MASTER!$A:$C,3,0),"?")</f>
        <v>?</v>
      </c>
      <c r="F192" s="216" t="str">
        <f>IFERROR(VLOOKUP(C192,ITEM_MASTER!$A:$D,4,0),"?")</f>
        <v>?</v>
      </c>
      <c r="G192" s="216" t="str">
        <f>IFERROR(VLOOKUP($C192,ITEM_MASTER!$A:$I,5,0),"?")</f>
        <v>?</v>
      </c>
      <c r="I192" s="135"/>
      <c r="J192" s="135"/>
      <c r="K192" s="135"/>
    </row>
    <row r="193" ht="15.75" customHeight="1">
      <c r="A193" s="135"/>
      <c r="D193" s="216" t="str">
        <f>IFERROR(VLOOKUP(C193,ITEM_MASTER!$A:$C,2,0),"?")</f>
        <v>?</v>
      </c>
      <c r="E193" s="216" t="str">
        <f>IFERROR(VLOOKUP(C193,ITEM_MASTER!$A:$C,3,0),"?")</f>
        <v>?</v>
      </c>
      <c r="F193" s="216" t="str">
        <f>IFERROR(VLOOKUP(C193,ITEM_MASTER!$A:$D,4,0),"?")</f>
        <v>?</v>
      </c>
      <c r="G193" s="216" t="str">
        <f>IFERROR(VLOOKUP($C193,ITEM_MASTER!$A:$I,5,0),"?")</f>
        <v>?</v>
      </c>
      <c r="I193" s="135"/>
      <c r="J193" s="135"/>
      <c r="K193" s="135"/>
    </row>
    <row r="194" ht="15.75" customHeight="1">
      <c r="A194" s="135"/>
      <c r="D194" s="216" t="str">
        <f>IFERROR(VLOOKUP(C194,ITEM_MASTER!$A:$C,2,0),"?")</f>
        <v>?</v>
      </c>
      <c r="E194" s="216" t="str">
        <f>IFERROR(VLOOKUP(C194,ITEM_MASTER!$A:$C,3,0),"?")</f>
        <v>?</v>
      </c>
      <c r="F194" s="216" t="str">
        <f>IFERROR(VLOOKUP(C194,ITEM_MASTER!$A:$D,4,0),"?")</f>
        <v>?</v>
      </c>
      <c r="G194" s="216" t="str">
        <f>IFERROR(VLOOKUP($C194,ITEM_MASTER!$A:$I,5,0),"?")</f>
        <v>?</v>
      </c>
      <c r="I194" s="135"/>
      <c r="J194" s="135"/>
      <c r="K194" s="135"/>
    </row>
    <row r="195" ht="15.75" customHeight="1">
      <c r="A195" s="135"/>
      <c r="D195" s="216" t="str">
        <f>IFERROR(VLOOKUP(C195,ITEM_MASTER!$A:$C,2,0),"?")</f>
        <v>?</v>
      </c>
      <c r="E195" s="216" t="str">
        <f>IFERROR(VLOOKUP(C195,ITEM_MASTER!$A:$C,3,0),"?")</f>
        <v>?</v>
      </c>
      <c r="F195" s="216" t="str">
        <f>IFERROR(VLOOKUP(C195,ITEM_MASTER!$A:$D,4,0),"?")</f>
        <v>?</v>
      </c>
      <c r="G195" s="216" t="str">
        <f>IFERROR(VLOOKUP($C195,ITEM_MASTER!$A:$I,5,0),"?")</f>
        <v>?</v>
      </c>
      <c r="I195" s="135"/>
      <c r="J195" s="135"/>
      <c r="K195" s="135"/>
    </row>
    <row r="196" ht="15.75" customHeight="1">
      <c r="A196" s="135"/>
      <c r="D196" s="216" t="str">
        <f>IFERROR(VLOOKUP(C196,ITEM_MASTER!$A:$C,2,0),"?")</f>
        <v>?</v>
      </c>
      <c r="E196" s="216" t="str">
        <f>IFERROR(VLOOKUP(C196,ITEM_MASTER!$A:$C,3,0),"?")</f>
        <v>?</v>
      </c>
      <c r="F196" s="216" t="str">
        <f>IFERROR(VLOOKUP(C196,ITEM_MASTER!$A:$D,4,0),"?")</f>
        <v>?</v>
      </c>
      <c r="G196" s="216" t="str">
        <f>IFERROR(VLOOKUP($C196,ITEM_MASTER!$A:$I,5,0),"?")</f>
        <v>?</v>
      </c>
      <c r="I196" s="135"/>
      <c r="J196" s="135"/>
      <c r="K196" s="135"/>
    </row>
    <row r="197" ht="15.75" customHeight="1">
      <c r="A197" s="135"/>
      <c r="D197" s="216" t="str">
        <f>IFERROR(VLOOKUP(C197,ITEM_MASTER!$A:$C,2,0),"?")</f>
        <v>?</v>
      </c>
      <c r="E197" s="216" t="str">
        <f>IFERROR(VLOOKUP(C197,ITEM_MASTER!$A:$C,3,0),"?")</f>
        <v>?</v>
      </c>
      <c r="F197" s="216" t="str">
        <f>IFERROR(VLOOKUP(C197,ITEM_MASTER!$A:$D,4,0),"?")</f>
        <v>?</v>
      </c>
      <c r="G197" s="216" t="str">
        <f>IFERROR(VLOOKUP($C197,ITEM_MASTER!$A:$I,5,0),"?")</f>
        <v>?</v>
      </c>
      <c r="I197" s="135"/>
      <c r="J197" s="135"/>
      <c r="K197" s="135"/>
    </row>
    <row r="198" ht="15.75" customHeight="1">
      <c r="A198" s="135"/>
      <c r="D198" s="216" t="str">
        <f>IFERROR(VLOOKUP(C198,ITEM_MASTER!$A:$C,2,0),"?")</f>
        <v>?</v>
      </c>
      <c r="E198" s="216" t="str">
        <f>IFERROR(VLOOKUP(C198,ITEM_MASTER!$A:$C,3,0),"?")</f>
        <v>?</v>
      </c>
      <c r="F198" s="216" t="str">
        <f>IFERROR(VLOOKUP(C198,ITEM_MASTER!$A:$D,4,0),"?")</f>
        <v>?</v>
      </c>
      <c r="G198" s="216" t="str">
        <f>IFERROR(VLOOKUP($C198,ITEM_MASTER!$A:$I,5,0),"?")</f>
        <v>?</v>
      </c>
      <c r="I198" s="135"/>
      <c r="J198" s="135"/>
      <c r="K198" s="135"/>
    </row>
    <row r="199" ht="15.75" customHeight="1">
      <c r="A199" s="135"/>
      <c r="D199" s="216" t="str">
        <f>IFERROR(VLOOKUP(C199,ITEM_MASTER!$A:$C,2,0),"?")</f>
        <v>?</v>
      </c>
      <c r="E199" s="216" t="str">
        <f>IFERROR(VLOOKUP(C199,ITEM_MASTER!$A:$C,3,0),"?")</f>
        <v>?</v>
      </c>
      <c r="F199" s="216" t="str">
        <f>IFERROR(VLOOKUP(C199,ITEM_MASTER!$A:$D,4,0),"?")</f>
        <v>?</v>
      </c>
      <c r="G199" s="216" t="str">
        <f>IFERROR(VLOOKUP($C199,ITEM_MASTER!$A:$I,5,0),"?")</f>
        <v>?</v>
      </c>
      <c r="I199" s="135"/>
      <c r="J199" s="135"/>
      <c r="K199" s="135"/>
    </row>
    <row r="200" ht="15.75" customHeight="1">
      <c r="A200" s="135"/>
      <c r="D200" s="216" t="str">
        <f>IFERROR(VLOOKUP(C200,ITEM_MASTER!$A:$C,2,0),"?")</f>
        <v>?</v>
      </c>
      <c r="E200" s="216" t="str">
        <f>IFERROR(VLOOKUP(C200,ITEM_MASTER!$A:$C,3,0),"?")</f>
        <v>?</v>
      </c>
      <c r="F200" s="216" t="str">
        <f>IFERROR(VLOOKUP(C200,ITEM_MASTER!$A:$D,4,0),"?")</f>
        <v>?</v>
      </c>
      <c r="G200" s="216" t="str">
        <f>IFERROR(VLOOKUP($C200,ITEM_MASTER!$A:$I,5,0),"?")</f>
        <v>?</v>
      </c>
      <c r="I200" s="135"/>
      <c r="J200" s="135"/>
      <c r="K200" s="135"/>
    </row>
    <row r="201" ht="15.75" customHeight="1">
      <c r="A201" s="135"/>
      <c r="D201" s="216" t="str">
        <f>IFERROR(VLOOKUP(C201,ITEM_MASTER!$A:$C,2,0),"?")</f>
        <v>?</v>
      </c>
      <c r="E201" s="216" t="str">
        <f>IFERROR(VLOOKUP(C201,ITEM_MASTER!$A:$C,3,0),"?")</f>
        <v>?</v>
      </c>
      <c r="F201" s="216" t="str">
        <f>IFERROR(VLOOKUP(C201,ITEM_MASTER!$A:$D,4,0),"?")</f>
        <v>?</v>
      </c>
      <c r="G201" s="216" t="str">
        <f>IFERROR(VLOOKUP($C201,ITEM_MASTER!$A:$I,5,0),"?")</f>
        <v>?</v>
      </c>
      <c r="I201" s="135"/>
      <c r="J201" s="135"/>
      <c r="K201" s="135"/>
    </row>
    <row r="202" ht="15.75" customHeight="1">
      <c r="A202" s="135"/>
      <c r="D202" s="216" t="str">
        <f>IFERROR(VLOOKUP(C202,ITEM_MASTER!$A:$C,2,0),"?")</f>
        <v>?</v>
      </c>
      <c r="E202" s="216" t="str">
        <f>IFERROR(VLOOKUP(C202,ITEM_MASTER!$A:$C,3,0),"?")</f>
        <v>?</v>
      </c>
      <c r="F202" s="216" t="str">
        <f>IFERROR(VLOOKUP(C202,ITEM_MASTER!$A:$D,4,0),"?")</f>
        <v>?</v>
      </c>
      <c r="G202" s="216" t="str">
        <f>IFERROR(VLOOKUP($C202,ITEM_MASTER!$A:$I,5,0),"?")</f>
        <v>?</v>
      </c>
      <c r="I202" s="135"/>
      <c r="J202" s="135"/>
      <c r="K202" s="135"/>
    </row>
    <row r="203" ht="15.75" customHeight="1">
      <c r="A203" s="135"/>
      <c r="D203" s="216" t="str">
        <f>IFERROR(VLOOKUP(C203,ITEM_MASTER!$A:$C,2,0),"?")</f>
        <v>?</v>
      </c>
      <c r="E203" s="216" t="str">
        <f>IFERROR(VLOOKUP(C203,ITEM_MASTER!$A:$C,3,0),"?")</f>
        <v>?</v>
      </c>
      <c r="F203" s="216" t="str">
        <f>IFERROR(VLOOKUP(C203,ITEM_MASTER!$A:$D,4,0),"?")</f>
        <v>?</v>
      </c>
      <c r="G203" s="216" t="str">
        <f>IFERROR(VLOOKUP($C203,ITEM_MASTER!$A:$I,5,0),"?")</f>
        <v>?</v>
      </c>
      <c r="I203" s="135"/>
      <c r="J203" s="135"/>
      <c r="K203" s="135"/>
    </row>
    <row r="204" ht="15.75" customHeight="1">
      <c r="A204" s="135"/>
      <c r="D204" s="216" t="str">
        <f>IFERROR(VLOOKUP(C204,ITEM_MASTER!$A:$C,2,0),"?")</f>
        <v>?</v>
      </c>
      <c r="E204" s="216" t="str">
        <f>IFERROR(VLOOKUP(C204,ITEM_MASTER!$A:$C,3,0),"?")</f>
        <v>?</v>
      </c>
      <c r="F204" s="216" t="str">
        <f>IFERROR(VLOOKUP(C204,ITEM_MASTER!$A:$D,4,0),"?")</f>
        <v>?</v>
      </c>
      <c r="G204" s="216" t="str">
        <f>IFERROR(VLOOKUP($C204,ITEM_MASTER!$A:$I,5,0),"?")</f>
        <v>?</v>
      </c>
      <c r="I204" s="135"/>
      <c r="J204" s="135"/>
      <c r="K204" s="135"/>
    </row>
    <row r="205" ht="15.75" customHeight="1">
      <c r="A205" s="135"/>
      <c r="D205" s="216" t="str">
        <f>IFERROR(VLOOKUP(C205,ITEM_MASTER!$A:$C,2,0),"?")</f>
        <v>?</v>
      </c>
      <c r="E205" s="216" t="str">
        <f>IFERROR(VLOOKUP(C205,ITEM_MASTER!$A:$C,3,0),"?")</f>
        <v>?</v>
      </c>
      <c r="F205" s="216" t="str">
        <f>IFERROR(VLOOKUP(C205,ITEM_MASTER!$A:$D,4,0),"?")</f>
        <v>?</v>
      </c>
      <c r="G205" s="216" t="str">
        <f>IFERROR(VLOOKUP($C205,ITEM_MASTER!$A:$I,5,0),"?")</f>
        <v>?</v>
      </c>
      <c r="I205" s="135"/>
      <c r="J205" s="135"/>
      <c r="K205" s="135"/>
    </row>
    <row r="206" ht="15.75" customHeight="1">
      <c r="A206" s="135"/>
      <c r="D206" s="216" t="str">
        <f>IFERROR(VLOOKUP(C206,ITEM_MASTER!$A:$C,2,0),"?")</f>
        <v>?</v>
      </c>
      <c r="E206" s="216" t="str">
        <f>IFERROR(VLOOKUP(C206,ITEM_MASTER!$A:$C,3,0),"?")</f>
        <v>?</v>
      </c>
      <c r="F206" s="216" t="str">
        <f>IFERROR(VLOOKUP(C206,ITEM_MASTER!$A:$D,4,0),"?")</f>
        <v>?</v>
      </c>
      <c r="G206" s="216" t="str">
        <f>IFERROR(VLOOKUP($C206,ITEM_MASTER!$A:$I,5,0),"?")</f>
        <v>?</v>
      </c>
      <c r="I206" s="135"/>
      <c r="J206" s="135"/>
      <c r="K206" s="135"/>
    </row>
    <row r="207" ht="15.75" customHeight="1">
      <c r="A207" s="135"/>
      <c r="D207" s="216" t="str">
        <f>IFERROR(VLOOKUP(C207,ITEM_MASTER!$A:$C,2,0),"?")</f>
        <v>?</v>
      </c>
      <c r="E207" s="216" t="str">
        <f>IFERROR(VLOOKUP(C207,ITEM_MASTER!$A:$C,3,0),"?")</f>
        <v>?</v>
      </c>
      <c r="F207" s="216" t="str">
        <f>IFERROR(VLOOKUP(C207,ITEM_MASTER!$A:$D,4,0),"?")</f>
        <v>?</v>
      </c>
      <c r="G207" s="216" t="str">
        <f>IFERROR(VLOOKUP($C207,ITEM_MASTER!$A:$I,5,0),"?")</f>
        <v>?</v>
      </c>
      <c r="I207" s="135"/>
      <c r="J207" s="135"/>
      <c r="K207" s="135"/>
    </row>
    <row r="208" ht="15.75" customHeight="1">
      <c r="A208" s="135"/>
      <c r="D208" s="216" t="str">
        <f>IFERROR(VLOOKUP(C208,ITEM_MASTER!$A:$C,2,0),"?")</f>
        <v>?</v>
      </c>
      <c r="E208" s="216" t="str">
        <f>IFERROR(VLOOKUP(C208,ITEM_MASTER!$A:$C,3,0),"?")</f>
        <v>?</v>
      </c>
      <c r="F208" s="216" t="str">
        <f>IFERROR(VLOOKUP(C208,ITEM_MASTER!$A:$D,4,0),"?")</f>
        <v>?</v>
      </c>
      <c r="G208" s="216" t="str">
        <f>IFERROR(VLOOKUP($C208,ITEM_MASTER!$A:$I,5,0),"?")</f>
        <v>?</v>
      </c>
      <c r="I208" s="135"/>
      <c r="J208" s="135"/>
      <c r="K208" s="135"/>
    </row>
    <row r="209" ht="15.75" customHeight="1">
      <c r="A209" s="135"/>
      <c r="D209" s="216" t="str">
        <f>IFERROR(VLOOKUP(C209,ITEM_MASTER!$A:$C,2,0),"?")</f>
        <v>?</v>
      </c>
      <c r="E209" s="216" t="str">
        <f>IFERROR(VLOOKUP(C209,ITEM_MASTER!$A:$C,3,0),"?")</f>
        <v>?</v>
      </c>
      <c r="F209" s="216" t="str">
        <f>IFERROR(VLOOKUP(C209,ITEM_MASTER!$A:$D,4,0),"?")</f>
        <v>?</v>
      </c>
      <c r="G209" s="216" t="str">
        <f>IFERROR(VLOOKUP($C209,ITEM_MASTER!$A:$I,5,0),"?")</f>
        <v>?</v>
      </c>
      <c r="I209" s="135"/>
      <c r="J209" s="135"/>
      <c r="K209" s="135"/>
    </row>
    <row r="210" ht="15.75" customHeight="1">
      <c r="A210" s="135"/>
      <c r="D210" s="216" t="str">
        <f>IFERROR(VLOOKUP(C210,ITEM_MASTER!$A:$C,2,0),"?")</f>
        <v>?</v>
      </c>
      <c r="E210" s="216" t="str">
        <f>IFERROR(VLOOKUP(C210,ITEM_MASTER!$A:$C,3,0),"?")</f>
        <v>?</v>
      </c>
      <c r="F210" s="216" t="str">
        <f>IFERROR(VLOOKUP(C210,ITEM_MASTER!$A:$D,4,0),"?")</f>
        <v>?</v>
      </c>
      <c r="G210" s="216" t="str">
        <f>IFERROR(VLOOKUP($C210,ITEM_MASTER!$A:$I,5,0),"?")</f>
        <v>?</v>
      </c>
      <c r="I210" s="135"/>
      <c r="J210" s="135"/>
      <c r="K210" s="135"/>
    </row>
    <row r="211" ht="15.75" customHeight="1">
      <c r="A211" s="135"/>
      <c r="D211" s="216" t="str">
        <f>IFERROR(VLOOKUP(C211,ITEM_MASTER!$A:$C,2,0),"?")</f>
        <v>?</v>
      </c>
      <c r="E211" s="216" t="str">
        <f>IFERROR(VLOOKUP(C211,ITEM_MASTER!$A:$C,3,0),"?")</f>
        <v>?</v>
      </c>
      <c r="F211" s="216" t="str">
        <f>IFERROR(VLOOKUP(C211,ITEM_MASTER!$A:$D,4,0),"?")</f>
        <v>?</v>
      </c>
      <c r="G211" s="216" t="str">
        <f>IFERROR(VLOOKUP($C211,ITEM_MASTER!$A:$I,5,0),"?")</f>
        <v>?</v>
      </c>
      <c r="I211" s="135"/>
      <c r="J211" s="135"/>
      <c r="K211" s="135"/>
    </row>
    <row r="212" ht="15.75" customHeight="1">
      <c r="A212" s="135"/>
      <c r="D212" s="216" t="str">
        <f>IFERROR(VLOOKUP(C212,ITEM_MASTER!$A:$C,2,0),"?")</f>
        <v>?</v>
      </c>
      <c r="E212" s="216" t="str">
        <f>IFERROR(VLOOKUP(C212,ITEM_MASTER!$A:$C,3,0),"?")</f>
        <v>?</v>
      </c>
      <c r="F212" s="216" t="str">
        <f>IFERROR(VLOOKUP(C212,ITEM_MASTER!$A:$D,4,0),"?")</f>
        <v>?</v>
      </c>
      <c r="G212" s="216" t="str">
        <f>IFERROR(VLOOKUP($C212,ITEM_MASTER!$A:$I,5,0),"?")</f>
        <v>?</v>
      </c>
      <c r="I212" s="135"/>
      <c r="J212" s="135"/>
      <c r="K212" s="135"/>
    </row>
    <row r="213" ht="15.75" customHeight="1">
      <c r="A213" s="135"/>
      <c r="D213" s="216" t="str">
        <f>IFERROR(VLOOKUP(C213,ITEM_MASTER!$A:$C,2,0),"?")</f>
        <v>?</v>
      </c>
      <c r="E213" s="216" t="str">
        <f>IFERROR(VLOOKUP(C213,ITEM_MASTER!$A:$C,3,0),"?")</f>
        <v>?</v>
      </c>
      <c r="F213" s="216" t="str">
        <f>IFERROR(VLOOKUP(C213,ITEM_MASTER!$A:$D,4,0),"?")</f>
        <v>?</v>
      </c>
      <c r="G213" s="216" t="str">
        <f>IFERROR(VLOOKUP($C213,ITEM_MASTER!$A:$I,5,0),"?")</f>
        <v>?</v>
      </c>
      <c r="I213" s="135"/>
      <c r="J213" s="135"/>
      <c r="K213" s="135"/>
    </row>
    <row r="214" ht="15.75" customHeight="1">
      <c r="A214" s="135"/>
      <c r="D214" s="216" t="str">
        <f>IFERROR(VLOOKUP(C214,ITEM_MASTER!$A:$C,2,0),"?")</f>
        <v>?</v>
      </c>
      <c r="E214" s="216" t="str">
        <f>IFERROR(VLOOKUP(C214,ITEM_MASTER!$A:$C,3,0),"?")</f>
        <v>?</v>
      </c>
      <c r="F214" s="216" t="str">
        <f>IFERROR(VLOOKUP(C214,ITEM_MASTER!$A:$D,4,0),"?")</f>
        <v>?</v>
      </c>
      <c r="G214" s="216" t="str">
        <f>IFERROR(VLOOKUP($C214,ITEM_MASTER!$A:$I,5,0),"?")</f>
        <v>?</v>
      </c>
      <c r="I214" s="135"/>
      <c r="J214" s="135"/>
      <c r="K214" s="135"/>
    </row>
    <row r="215" ht="15.75" customHeight="1">
      <c r="A215" s="135"/>
      <c r="D215" s="216" t="str">
        <f>IFERROR(VLOOKUP(C215,ITEM_MASTER!$A:$C,2,0),"?")</f>
        <v>?</v>
      </c>
      <c r="E215" s="216" t="str">
        <f>IFERROR(VLOOKUP(C215,ITEM_MASTER!$A:$C,3,0),"?")</f>
        <v>?</v>
      </c>
      <c r="F215" s="216" t="str">
        <f>IFERROR(VLOOKUP(C215,ITEM_MASTER!$A:$D,4,0),"?")</f>
        <v>?</v>
      </c>
      <c r="G215" s="216" t="str">
        <f>IFERROR(VLOOKUP($C215,ITEM_MASTER!$A:$I,5,0),"?")</f>
        <v>?</v>
      </c>
      <c r="I215" s="135"/>
      <c r="J215" s="135"/>
      <c r="K215" s="135"/>
    </row>
    <row r="216" ht="15.75" customHeight="1">
      <c r="A216" s="135"/>
      <c r="D216" s="216" t="str">
        <f>IFERROR(VLOOKUP(C216,ITEM_MASTER!$A:$C,2,0),"?")</f>
        <v>?</v>
      </c>
      <c r="E216" s="216" t="str">
        <f>IFERROR(VLOOKUP(C216,ITEM_MASTER!$A:$C,3,0),"?")</f>
        <v>?</v>
      </c>
      <c r="F216" s="216" t="str">
        <f>IFERROR(VLOOKUP(C216,ITEM_MASTER!$A:$D,4,0),"?")</f>
        <v>?</v>
      </c>
      <c r="G216" s="216" t="str">
        <f>IFERROR(VLOOKUP($C216,ITEM_MASTER!$A:$I,5,0),"?")</f>
        <v>?</v>
      </c>
      <c r="I216" s="135"/>
      <c r="J216" s="135"/>
      <c r="K216" s="135"/>
    </row>
    <row r="217" ht="15.75" customHeight="1">
      <c r="A217" s="135"/>
      <c r="D217" s="216" t="str">
        <f>IFERROR(VLOOKUP(C217,ITEM_MASTER!$A:$C,2,0),"?")</f>
        <v>?</v>
      </c>
      <c r="E217" s="216" t="str">
        <f>IFERROR(VLOOKUP(C217,ITEM_MASTER!$A:$C,3,0),"?")</f>
        <v>?</v>
      </c>
      <c r="F217" s="216" t="str">
        <f>IFERROR(VLOOKUP(C217,ITEM_MASTER!$A:$D,4,0),"?")</f>
        <v>?</v>
      </c>
      <c r="G217" s="216" t="str">
        <f>IFERROR(VLOOKUP($C217,ITEM_MASTER!$A:$I,5,0),"?")</f>
        <v>?</v>
      </c>
      <c r="I217" s="135"/>
      <c r="J217" s="135"/>
      <c r="K217" s="135"/>
    </row>
    <row r="218" ht="15.75" customHeight="1">
      <c r="A218" s="135"/>
      <c r="D218" s="216" t="str">
        <f>IFERROR(VLOOKUP(C218,ITEM_MASTER!$A:$C,2,0),"?")</f>
        <v>?</v>
      </c>
      <c r="E218" s="216" t="str">
        <f>IFERROR(VLOOKUP(C218,ITEM_MASTER!$A:$C,3,0),"?")</f>
        <v>?</v>
      </c>
      <c r="F218" s="216" t="str">
        <f>IFERROR(VLOOKUP(C218,ITEM_MASTER!$A:$D,4,0),"?")</f>
        <v>?</v>
      </c>
      <c r="G218" s="216" t="str">
        <f>IFERROR(VLOOKUP($C218,ITEM_MASTER!$A:$I,5,0),"?")</f>
        <v>?</v>
      </c>
      <c r="I218" s="135"/>
      <c r="J218" s="135"/>
      <c r="K218" s="135"/>
    </row>
    <row r="219" ht="15.75" customHeight="1">
      <c r="A219" s="135"/>
      <c r="D219" s="216" t="str">
        <f>IFERROR(VLOOKUP(C219,ITEM_MASTER!$A:$C,2,0),"?")</f>
        <v>?</v>
      </c>
      <c r="E219" s="216" t="str">
        <f>IFERROR(VLOOKUP(C219,ITEM_MASTER!$A:$C,3,0),"?")</f>
        <v>?</v>
      </c>
      <c r="F219" s="216" t="str">
        <f>IFERROR(VLOOKUP(C219,ITEM_MASTER!$A:$D,4,0),"?")</f>
        <v>?</v>
      </c>
      <c r="G219" s="216" t="str">
        <f>IFERROR(VLOOKUP($C219,ITEM_MASTER!$A:$I,5,0),"?")</f>
        <v>?</v>
      </c>
      <c r="I219" s="135"/>
      <c r="J219" s="135"/>
      <c r="K219" s="135"/>
    </row>
    <row r="220" ht="15.75" customHeight="1">
      <c r="A220" s="135"/>
      <c r="D220" s="216" t="str">
        <f>IFERROR(VLOOKUP(C220,ITEM_MASTER!$A:$C,2,0),"?")</f>
        <v>?</v>
      </c>
      <c r="E220" s="216" t="str">
        <f>IFERROR(VLOOKUP(C220,ITEM_MASTER!$A:$C,3,0),"?")</f>
        <v>?</v>
      </c>
      <c r="F220" s="216" t="str">
        <f>IFERROR(VLOOKUP(C220,ITEM_MASTER!$A:$D,4,0),"?")</f>
        <v>?</v>
      </c>
      <c r="G220" s="216" t="str">
        <f>IFERROR(VLOOKUP($C220,ITEM_MASTER!$A:$I,5,0),"?")</f>
        <v>?</v>
      </c>
      <c r="I220" s="135"/>
      <c r="J220" s="135"/>
      <c r="K220" s="135"/>
    </row>
    <row r="221" ht="15.75" customHeight="1">
      <c r="A221" s="135"/>
      <c r="D221" s="216" t="str">
        <f>IFERROR(VLOOKUP(C221,ITEM_MASTER!$A:$C,2,0),"?")</f>
        <v>?</v>
      </c>
      <c r="E221" s="216" t="str">
        <f>IFERROR(VLOOKUP(C221,ITEM_MASTER!$A:$C,3,0),"?")</f>
        <v>?</v>
      </c>
      <c r="F221" s="216" t="str">
        <f>IFERROR(VLOOKUP(C221,ITEM_MASTER!$A:$D,4,0),"?")</f>
        <v>?</v>
      </c>
      <c r="G221" s="216" t="str">
        <f>IFERROR(VLOOKUP($C221,ITEM_MASTER!$A:$I,5,0),"?")</f>
        <v>?</v>
      </c>
      <c r="I221" s="135"/>
      <c r="J221" s="135"/>
      <c r="K221" s="135"/>
    </row>
    <row r="222" ht="15.75" customHeight="1">
      <c r="A222" s="135"/>
      <c r="D222" s="216" t="str">
        <f>IFERROR(VLOOKUP(C222,ITEM_MASTER!$A:$C,2,0),"?")</f>
        <v>?</v>
      </c>
      <c r="E222" s="216" t="str">
        <f>IFERROR(VLOOKUP(C222,ITEM_MASTER!$A:$C,3,0),"?")</f>
        <v>?</v>
      </c>
      <c r="F222" s="216" t="str">
        <f>IFERROR(VLOOKUP(C222,ITEM_MASTER!$A:$D,4,0),"?")</f>
        <v>?</v>
      </c>
      <c r="G222" s="216" t="str">
        <f>IFERROR(VLOOKUP($C222,ITEM_MASTER!$A:$I,5,0),"?")</f>
        <v>?</v>
      </c>
      <c r="I222" s="135"/>
      <c r="J222" s="135"/>
      <c r="K222" s="135"/>
    </row>
    <row r="223" ht="15.75" customHeight="1">
      <c r="A223" s="135"/>
      <c r="D223" s="216" t="str">
        <f>IFERROR(VLOOKUP(C223,ITEM_MASTER!$A:$C,2,0),"?")</f>
        <v>?</v>
      </c>
      <c r="E223" s="216" t="str">
        <f>IFERROR(VLOOKUP(C223,ITEM_MASTER!$A:$C,3,0),"?")</f>
        <v>?</v>
      </c>
      <c r="F223" s="216" t="str">
        <f>IFERROR(VLOOKUP(C223,ITEM_MASTER!$A:$D,4,0),"?")</f>
        <v>?</v>
      </c>
      <c r="G223" s="216" t="str">
        <f>IFERROR(VLOOKUP($C223,ITEM_MASTER!$A:$I,5,0),"?")</f>
        <v>?</v>
      </c>
      <c r="I223" s="135"/>
      <c r="J223" s="135"/>
      <c r="K223" s="135"/>
    </row>
    <row r="224" ht="15.75" customHeight="1">
      <c r="A224" s="135"/>
      <c r="D224" s="216" t="str">
        <f>IFERROR(VLOOKUP(C224,ITEM_MASTER!$A:$C,2,0),"?")</f>
        <v>?</v>
      </c>
      <c r="E224" s="216" t="str">
        <f>IFERROR(VLOOKUP(C224,ITEM_MASTER!$A:$C,3,0),"?")</f>
        <v>?</v>
      </c>
      <c r="F224" s="216" t="str">
        <f>IFERROR(VLOOKUP(C224,ITEM_MASTER!$A:$D,4,0),"?")</f>
        <v>?</v>
      </c>
      <c r="G224" s="216" t="str">
        <f>IFERROR(VLOOKUP($C224,ITEM_MASTER!$A:$I,5,0),"?")</f>
        <v>?</v>
      </c>
      <c r="I224" s="135"/>
      <c r="J224" s="135"/>
      <c r="K224" s="135"/>
    </row>
    <row r="225" ht="15.75" customHeight="1">
      <c r="A225" s="135"/>
      <c r="D225" s="216" t="str">
        <f>IFERROR(VLOOKUP(C225,ITEM_MASTER!$A:$C,2,0),"?")</f>
        <v>?</v>
      </c>
      <c r="E225" s="216" t="str">
        <f>IFERROR(VLOOKUP(C225,ITEM_MASTER!$A:$C,3,0),"?")</f>
        <v>?</v>
      </c>
      <c r="F225" s="216" t="str">
        <f>IFERROR(VLOOKUP(C225,ITEM_MASTER!$A:$D,4,0),"?")</f>
        <v>?</v>
      </c>
      <c r="G225" s="216" t="str">
        <f>IFERROR(VLOOKUP($C225,ITEM_MASTER!$A:$I,5,0),"?")</f>
        <v>?</v>
      </c>
      <c r="I225" s="135"/>
      <c r="J225" s="135"/>
      <c r="K225" s="135"/>
    </row>
    <row r="226" ht="15.75" customHeight="1">
      <c r="A226" s="135"/>
      <c r="D226" s="216" t="str">
        <f>IFERROR(VLOOKUP(C226,ITEM_MASTER!$A:$C,2,0),"?")</f>
        <v>?</v>
      </c>
      <c r="E226" s="216" t="str">
        <f>IFERROR(VLOOKUP(C226,ITEM_MASTER!$A:$C,3,0),"?")</f>
        <v>?</v>
      </c>
      <c r="F226" s="216" t="str">
        <f>IFERROR(VLOOKUP(C226,ITEM_MASTER!$A:$D,4,0),"?")</f>
        <v>?</v>
      </c>
      <c r="G226" s="216" t="str">
        <f>IFERROR(VLOOKUP($C226,ITEM_MASTER!$A:$I,5,0),"?")</f>
        <v>?</v>
      </c>
      <c r="I226" s="135"/>
      <c r="J226" s="135"/>
      <c r="K226" s="135"/>
    </row>
    <row r="227" ht="13.5" customHeight="1">
      <c r="A227" s="217" t="s">
        <v>721</v>
      </c>
    </row>
    <row r="228" ht="15.75" customHeight="1">
      <c r="A228" s="218"/>
      <c r="B228" s="219"/>
      <c r="C228" s="218"/>
      <c r="D228" s="220" t="str">
        <f>IFERROR(VLOOKUP(C228,ITEM_MASTER!$A:$C,2,0),"?")</f>
        <v>?</v>
      </c>
      <c r="E228" s="220" t="str">
        <f>IFERROR(VLOOKUP(C228,ITEM_MASTER!$A:$C,3,0),"?")</f>
        <v>?</v>
      </c>
      <c r="F228" s="220" t="str">
        <f>IFERROR(VLOOKUP(C228,ITEM_MASTER!$A:$D,4,0),"?")</f>
        <v>?</v>
      </c>
      <c r="G228" s="220"/>
      <c r="H228" s="220"/>
      <c r="I228" s="24" t="s">
        <v>144</v>
      </c>
      <c r="J228" s="219" t="s">
        <v>722</v>
      </c>
      <c r="K228" s="219"/>
      <c r="L228" s="219"/>
    </row>
    <row r="229" ht="15.75" customHeight="1">
      <c r="A229" s="110"/>
      <c r="B229" s="24"/>
      <c r="C229" s="110"/>
      <c r="D229" s="206" t="str">
        <f>IFERROR(VLOOKUP(C229,ITEM_MASTER!$A:$C,2,0),"?")</f>
        <v>?</v>
      </c>
      <c r="E229" s="206" t="str">
        <f>IFERROR(VLOOKUP(C229,ITEM_MASTER!$A:$C,3,0),"?")</f>
        <v>?</v>
      </c>
      <c r="F229" s="206" t="str">
        <f>IFERROR(VLOOKUP(C229,ITEM_MASTER!$A:$D,4,0),"?")</f>
        <v>?</v>
      </c>
      <c r="G229" s="206"/>
      <c r="H229" s="206"/>
      <c r="I229" s="24" t="s">
        <v>144</v>
      </c>
      <c r="J229" s="24" t="s">
        <v>722</v>
      </c>
      <c r="K229" s="24"/>
      <c r="L229" s="24"/>
    </row>
    <row r="230" ht="15.75" customHeight="1">
      <c r="A230" s="218"/>
      <c r="B230" s="219"/>
      <c r="C230" s="218"/>
      <c r="D230" s="220" t="str">
        <f>IFERROR(VLOOKUP(C230,ITEM_MASTER!$A:$C,2,0),"?")</f>
        <v>?</v>
      </c>
      <c r="E230" s="220" t="str">
        <f>IFERROR(VLOOKUP(C230,ITEM_MASTER!$A:$C,3,0),"?")</f>
        <v>?</v>
      </c>
      <c r="F230" s="220" t="str">
        <f>IFERROR(VLOOKUP(C230,ITEM_MASTER!$A:$D,4,0),"?")</f>
        <v>?</v>
      </c>
      <c r="G230" s="220"/>
      <c r="H230" s="220"/>
      <c r="I230" s="24" t="s">
        <v>144</v>
      </c>
      <c r="J230" s="219" t="s">
        <v>722</v>
      </c>
      <c r="K230" s="219"/>
      <c r="L230" s="219"/>
    </row>
    <row r="231" ht="15.75" customHeight="1">
      <c r="A231" s="110"/>
      <c r="B231" s="24"/>
      <c r="C231" s="110"/>
      <c r="D231" s="206" t="str">
        <f>IFERROR(VLOOKUP(C231,ITEM_MASTER!$A:$C,2,0),"?")</f>
        <v>?</v>
      </c>
      <c r="E231" s="206" t="str">
        <f>IFERROR(VLOOKUP(C231,ITEM_MASTER!$A:$C,3,0),"?")</f>
        <v>?</v>
      </c>
      <c r="F231" s="206" t="str">
        <f>IFERROR(VLOOKUP(C231,ITEM_MASTER!$A:$D,4,0),"?")</f>
        <v>?</v>
      </c>
      <c r="G231" s="206"/>
      <c r="H231" s="206"/>
      <c r="I231" s="24" t="s">
        <v>144</v>
      </c>
      <c r="J231" s="24" t="s">
        <v>722</v>
      </c>
      <c r="K231" s="24"/>
      <c r="L231" s="24"/>
    </row>
    <row r="232" ht="15.75" customHeight="1">
      <c r="A232" s="218"/>
      <c r="B232" s="219"/>
      <c r="C232" s="218"/>
      <c r="D232" s="220" t="str">
        <f>IFERROR(VLOOKUP(C232,ITEM_MASTER!$A:$C,2,0),"?")</f>
        <v>?</v>
      </c>
      <c r="E232" s="220" t="str">
        <f>IFERROR(VLOOKUP(C232,ITEM_MASTER!$A:$C,3,0),"?")</f>
        <v>?</v>
      </c>
      <c r="F232" s="220" t="str">
        <f>IFERROR(VLOOKUP(C232,ITEM_MASTER!$A:$D,4,0),"?")</f>
        <v>?</v>
      </c>
      <c r="G232" s="220"/>
      <c r="H232" s="220"/>
      <c r="I232" s="24" t="s">
        <v>144</v>
      </c>
      <c r="J232" s="219" t="s">
        <v>722</v>
      </c>
      <c r="K232" s="219"/>
      <c r="L232" s="219"/>
    </row>
    <row r="233" ht="15.75" customHeight="1">
      <c r="A233" s="110"/>
      <c r="B233" s="24"/>
      <c r="C233" s="110"/>
      <c r="D233" s="206" t="str">
        <f>IFERROR(VLOOKUP(C233,ITEM_MASTER!$A:$C,2,0),"?")</f>
        <v>?</v>
      </c>
      <c r="E233" s="206" t="str">
        <f>IFERROR(VLOOKUP(C233,ITEM_MASTER!$A:$C,3,0),"?")</f>
        <v>?</v>
      </c>
      <c r="F233" s="206" t="str">
        <f>IFERROR(VLOOKUP(C233,ITEM_MASTER!$A:$D,4,0),"?")</f>
        <v>?</v>
      </c>
      <c r="G233" s="206"/>
      <c r="H233" s="206"/>
      <c r="I233" s="24" t="s">
        <v>144</v>
      </c>
      <c r="J233" s="24" t="s">
        <v>722</v>
      </c>
      <c r="K233" s="24"/>
      <c r="L233" s="24"/>
    </row>
    <row r="234" ht="15.75" customHeight="1">
      <c r="A234" s="218"/>
      <c r="B234" s="219"/>
      <c r="C234" s="218"/>
      <c r="D234" s="220" t="str">
        <f>IFERROR(VLOOKUP(C234,ITEM_MASTER!$A:$C,2,0),"?")</f>
        <v>?</v>
      </c>
      <c r="E234" s="220" t="str">
        <f>IFERROR(VLOOKUP(C234,ITEM_MASTER!$A:$C,3,0),"?")</f>
        <v>?</v>
      </c>
      <c r="F234" s="220" t="str">
        <f>IFERROR(VLOOKUP(C234,ITEM_MASTER!$A:$D,4,0),"?")</f>
        <v>?</v>
      </c>
      <c r="G234" s="220"/>
      <c r="H234" s="220"/>
      <c r="I234" s="24" t="s">
        <v>144</v>
      </c>
      <c r="J234" s="219" t="s">
        <v>722</v>
      </c>
      <c r="K234" s="219"/>
      <c r="L234" s="219"/>
    </row>
    <row r="235" ht="15.75" customHeight="1">
      <c r="A235" s="110"/>
      <c r="B235" s="24"/>
      <c r="C235" s="110"/>
      <c r="D235" s="206" t="str">
        <f>IFERROR(VLOOKUP(C235,ITEM_MASTER!$A:$C,2,0),"?")</f>
        <v>?</v>
      </c>
      <c r="E235" s="206" t="str">
        <f>IFERROR(VLOOKUP(C235,ITEM_MASTER!$A:$C,3,0),"?")</f>
        <v>?</v>
      </c>
      <c r="F235" s="206" t="str">
        <f>IFERROR(VLOOKUP(C235,ITEM_MASTER!$A:$D,4,0),"?")</f>
        <v>?</v>
      </c>
      <c r="G235" s="206"/>
      <c r="H235" s="206"/>
      <c r="I235" s="24" t="s">
        <v>144</v>
      </c>
      <c r="J235" s="24" t="s">
        <v>722</v>
      </c>
      <c r="K235" s="24"/>
      <c r="L235" s="24"/>
    </row>
    <row r="236" ht="15.75" customHeight="1">
      <c r="A236" s="218"/>
      <c r="B236" s="219"/>
      <c r="C236" s="218"/>
      <c r="D236" s="220" t="str">
        <f>IFERROR(VLOOKUP(C236,ITEM_MASTER!$A:$C,2,0),"?")</f>
        <v>?</v>
      </c>
      <c r="E236" s="220" t="str">
        <f>IFERROR(VLOOKUP(C236,ITEM_MASTER!$A:$C,3,0),"?")</f>
        <v>?</v>
      </c>
      <c r="F236" s="220" t="str">
        <f>IFERROR(VLOOKUP(C236,ITEM_MASTER!$A:$D,4,0),"?")</f>
        <v>?</v>
      </c>
      <c r="G236" s="220"/>
      <c r="H236" s="220"/>
      <c r="I236" s="24" t="s">
        <v>144</v>
      </c>
      <c r="J236" s="219" t="s">
        <v>722</v>
      </c>
      <c r="K236" s="219"/>
      <c r="L236" s="219"/>
    </row>
    <row r="237" ht="15.75" customHeight="1">
      <c r="A237" s="110"/>
      <c r="B237" s="24"/>
      <c r="C237" s="110"/>
      <c r="D237" s="206" t="str">
        <f>IFERROR(VLOOKUP(C237,ITEM_MASTER!$A:$C,2,0),"?")</f>
        <v>?</v>
      </c>
      <c r="E237" s="206" t="str">
        <f>IFERROR(VLOOKUP(C237,ITEM_MASTER!$A:$C,3,0),"?")</f>
        <v>?</v>
      </c>
      <c r="F237" s="206" t="str">
        <f>IFERROR(VLOOKUP(C237,ITEM_MASTER!$A:$D,4,0),"?")</f>
        <v>?</v>
      </c>
      <c r="G237" s="206"/>
      <c r="H237" s="206"/>
      <c r="I237" s="24" t="s">
        <v>144</v>
      </c>
      <c r="J237" s="24" t="s">
        <v>722</v>
      </c>
      <c r="K237" s="24"/>
      <c r="L237" s="24"/>
    </row>
    <row r="238" ht="15.75" customHeight="1">
      <c r="A238" s="218"/>
      <c r="B238" s="219"/>
      <c r="C238" s="218"/>
      <c r="D238" s="220" t="str">
        <f>IFERROR(VLOOKUP(C238,ITEM_MASTER!$A:$C,2,0),"?")</f>
        <v>?</v>
      </c>
      <c r="E238" s="220" t="str">
        <f>IFERROR(VLOOKUP(C238,ITEM_MASTER!$A:$C,3,0),"?")</f>
        <v>?</v>
      </c>
      <c r="F238" s="220" t="str">
        <f>IFERROR(VLOOKUP(C238,ITEM_MASTER!$A:$D,4,0),"?")</f>
        <v>?</v>
      </c>
      <c r="G238" s="220"/>
      <c r="H238" s="220"/>
      <c r="I238" s="24" t="s">
        <v>144</v>
      </c>
      <c r="J238" s="219" t="s">
        <v>722</v>
      </c>
      <c r="K238" s="219"/>
      <c r="L238" s="219"/>
    </row>
    <row r="239" ht="15.75" customHeight="1">
      <c r="A239" s="110"/>
      <c r="B239" s="24"/>
      <c r="C239" s="110"/>
      <c r="D239" s="206" t="str">
        <f>IFERROR(VLOOKUP(C239,ITEM_MASTER!$A:$C,2,0),"?")</f>
        <v>?</v>
      </c>
      <c r="E239" s="206" t="str">
        <f>IFERROR(VLOOKUP(C239,ITEM_MASTER!$A:$C,3,0),"?")</f>
        <v>?</v>
      </c>
      <c r="F239" s="206" t="str">
        <f>IFERROR(VLOOKUP(C239,ITEM_MASTER!$A:$D,4,0),"?")</f>
        <v>?</v>
      </c>
      <c r="G239" s="206"/>
      <c r="H239" s="206"/>
      <c r="I239" s="24" t="s">
        <v>144</v>
      </c>
      <c r="J239" s="24" t="s">
        <v>722</v>
      </c>
      <c r="K239" s="24"/>
      <c r="L239" s="24"/>
    </row>
    <row r="240" ht="15.75" customHeight="1">
      <c r="A240" s="218"/>
      <c r="B240" s="219"/>
      <c r="C240" s="218"/>
      <c r="D240" s="220" t="str">
        <f>IFERROR(VLOOKUP(C240,ITEM_MASTER!$A:$C,2,0),"?")</f>
        <v>?</v>
      </c>
      <c r="E240" s="220" t="str">
        <f>IFERROR(VLOOKUP(C240,ITEM_MASTER!$A:$C,3,0),"?")</f>
        <v>?</v>
      </c>
      <c r="F240" s="220" t="str">
        <f>IFERROR(VLOOKUP(C240,ITEM_MASTER!$A:$D,4,0),"?")</f>
        <v>?</v>
      </c>
      <c r="G240" s="220"/>
      <c r="H240" s="220"/>
      <c r="I240" s="24" t="s">
        <v>144</v>
      </c>
      <c r="J240" s="219" t="s">
        <v>722</v>
      </c>
      <c r="K240" s="219"/>
      <c r="L240" s="219"/>
    </row>
    <row r="241" ht="15.75" customHeight="1">
      <c r="A241" s="110"/>
      <c r="B241" s="24"/>
      <c r="C241" s="110"/>
      <c r="D241" s="206" t="str">
        <f>IFERROR(VLOOKUP(C241,ITEM_MASTER!$A:$C,2,0),"?")</f>
        <v>?</v>
      </c>
      <c r="E241" s="206" t="str">
        <f>IFERROR(VLOOKUP(C241,ITEM_MASTER!$A:$C,3,0),"?")</f>
        <v>?</v>
      </c>
      <c r="F241" s="206" t="str">
        <f>IFERROR(VLOOKUP(C241,ITEM_MASTER!$A:$D,4,0),"?")</f>
        <v>?</v>
      </c>
      <c r="G241" s="206"/>
      <c r="H241" s="206"/>
      <c r="I241" s="24" t="s">
        <v>144</v>
      </c>
      <c r="J241" s="24" t="s">
        <v>722</v>
      </c>
      <c r="K241" s="24"/>
      <c r="L241" s="24"/>
    </row>
    <row r="242" ht="15.75" customHeight="1">
      <c r="A242" s="218"/>
      <c r="B242" s="219"/>
      <c r="C242" s="218"/>
      <c r="D242" s="220" t="str">
        <f>IFERROR(VLOOKUP(C242,ITEM_MASTER!$A:$C,2,0),"?")</f>
        <v>?</v>
      </c>
      <c r="E242" s="220" t="str">
        <f>IFERROR(VLOOKUP(C242,ITEM_MASTER!$A:$C,3,0),"?")</f>
        <v>?</v>
      </c>
      <c r="F242" s="220" t="str">
        <f>IFERROR(VLOOKUP(C242,ITEM_MASTER!$A:$D,4,0),"?")</f>
        <v>?</v>
      </c>
      <c r="G242" s="220"/>
      <c r="H242" s="220"/>
      <c r="I242" s="24" t="s">
        <v>144</v>
      </c>
      <c r="J242" s="219" t="s">
        <v>722</v>
      </c>
      <c r="K242" s="219"/>
      <c r="L242" s="219"/>
    </row>
    <row r="243" ht="15.75" customHeight="1">
      <c r="A243" s="110"/>
      <c r="B243" s="24"/>
      <c r="C243" s="110"/>
      <c r="D243" s="206" t="str">
        <f>IFERROR(VLOOKUP(C243,ITEM_MASTER!$A:$C,2,0),"?")</f>
        <v>?</v>
      </c>
      <c r="E243" s="206" t="str">
        <f>IFERROR(VLOOKUP(C243,ITEM_MASTER!$A:$C,3,0),"?")</f>
        <v>?</v>
      </c>
      <c r="F243" s="206" t="str">
        <f>IFERROR(VLOOKUP(C243,ITEM_MASTER!$A:$D,4,0),"?")</f>
        <v>?</v>
      </c>
      <c r="G243" s="206"/>
      <c r="H243" s="206"/>
      <c r="I243" s="24" t="s">
        <v>144</v>
      </c>
      <c r="J243" s="24" t="s">
        <v>722</v>
      </c>
      <c r="K243" s="24"/>
      <c r="L243" s="24"/>
    </row>
    <row r="244" ht="15.75" customHeight="1">
      <c r="A244" s="218"/>
      <c r="B244" s="219"/>
      <c r="C244" s="218"/>
      <c r="D244" s="220" t="str">
        <f>IFERROR(VLOOKUP(C244,ITEM_MASTER!$A:$C,2,0),"?")</f>
        <v>?</v>
      </c>
      <c r="E244" s="220" t="str">
        <f>IFERROR(VLOOKUP(C244,ITEM_MASTER!$A:$C,3,0),"?")</f>
        <v>?</v>
      </c>
      <c r="F244" s="220" t="str">
        <f>IFERROR(VLOOKUP(C244,ITEM_MASTER!$A:$D,4,0),"?")</f>
        <v>?</v>
      </c>
      <c r="G244" s="220"/>
      <c r="H244" s="220"/>
      <c r="I244" s="24" t="s">
        <v>144</v>
      </c>
      <c r="J244" s="219" t="s">
        <v>722</v>
      </c>
      <c r="K244" s="219"/>
      <c r="L244" s="219"/>
    </row>
    <row r="245" ht="13.5" customHeight="1">
      <c r="A245" s="221" t="s">
        <v>723</v>
      </c>
    </row>
    <row r="246" ht="15.75" customHeight="1">
      <c r="A246" s="222"/>
      <c r="B246" s="223"/>
      <c r="C246" s="222"/>
      <c r="D246" s="224" t="str">
        <f>IFERROR(VLOOKUP(C246,ITEM_MASTER!$A:$C,2,0),"?")</f>
        <v>?</v>
      </c>
      <c r="E246" s="224" t="str">
        <f>IFERROR(VLOOKUP(C246,ITEM_MASTER!$A:$C,3,0),"?")</f>
        <v>?</v>
      </c>
      <c r="F246" s="224" t="str">
        <f>IFERROR(VLOOKUP(C246,ITEM_MASTER!$A:$D,4,0),"?")</f>
        <v>?</v>
      </c>
      <c r="G246" s="224"/>
      <c r="H246" s="224"/>
      <c r="I246" s="24" t="s">
        <v>144</v>
      </c>
      <c r="J246" s="223" t="s">
        <v>722</v>
      </c>
      <c r="K246" s="223"/>
      <c r="L246" s="223"/>
    </row>
    <row r="247" ht="15.75" customHeight="1">
      <c r="A247" s="225"/>
      <c r="B247" s="24"/>
      <c r="C247" s="225"/>
      <c r="D247" s="206" t="str">
        <f>IFERROR(VLOOKUP(C247,ITEM_MASTER!$A:$C,2,0),"?")</f>
        <v>?</v>
      </c>
      <c r="E247" s="206" t="str">
        <f>IFERROR(VLOOKUP(C247,ITEM_MASTER!$A:$C,3,0),"?")</f>
        <v>?</v>
      </c>
      <c r="F247" s="206" t="str">
        <f>IFERROR(VLOOKUP(C247,ITEM_MASTER!$A:$D,4,0),"?")</f>
        <v>?</v>
      </c>
      <c r="G247" s="206"/>
      <c r="H247" s="206"/>
      <c r="I247" s="24" t="s">
        <v>144</v>
      </c>
      <c r="J247" s="24" t="s">
        <v>722</v>
      </c>
      <c r="K247" s="24"/>
      <c r="L247" s="24"/>
    </row>
    <row r="248" ht="15.75" customHeight="1">
      <c r="A248" s="222"/>
      <c r="B248" s="223"/>
      <c r="C248" s="222"/>
      <c r="D248" s="224" t="str">
        <f>IFERROR(VLOOKUP(C248,ITEM_MASTER!$A:$C,2,0),"?")</f>
        <v>?</v>
      </c>
      <c r="E248" s="224" t="str">
        <f>IFERROR(VLOOKUP(C248,ITEM_MASTER!$A:$C,3,0),"?")</f>
        <v>?</v>
      </c>
      <c r="F248" s="224" t="str">
        <f>IFERROR(VLOOKUP(C248,ITEM_MASTER!$A:$D,4,0),"?")</f>
        <v>?</v>
      </c>
      <c r="G248" s="224"/>
      <c r="H248" s="224"/>
      <c r="I248" s="24" t="s">
        <v>144</v>
      </c>
      <c r="J248" s="223" t="s">
        <v>722</v>
      </c>
      <c r="K248" s="223"/>
      <c r="L248" s="223"/>
    </row>
    <row r="249" ht="15.75" customHeight="1">
      <c r="A249" s="225"/>
      <c r="B249" s="24"/>
      <c r="C249" s="225"/>
      <c r="D249" s="206" t="str">
        <f>IFERROR(VLOOKUP(C249,ITEM_MASTER!$A:$C,2,0),"?")</f>
        <v>?</v>
      </c>
      <c r="E249" s="206" t="str">
        <f>IFERROR(VLOOKUP(C249,ITEM_MASTER!$A:$C,3,0),"?")</f>
        <v>?</v>
      </c>
      <c r="F249" s="206" t="str">
        <f>IFERROR(VLOOKUP(C249,ITEM_MASTER!$A:$D,4,0),"?")</f>
        <v>?</v>
      </c>
      <c r="G249" s="206"/>
      <c r="H249" s="206"/>
      <c r="I249" s="24" t="s">
        <v>144</v>
      </c>
      <c r="J249" s="24" t="s">
        <v>722</v>
      </c>
      <c r="K249" s="24"/>
      <c r="L249" s="24"/>
    </row>
    <row r="250" ht="15.75" customHeight="1">
      <c r="A250" s="222"/>
      <c r="B250" s="223"/>
      <c r="C250" s="222"/>
      <c r="D250" s="224" t="str">
        <f>IFERROR(VLOOKUP(C250,ITEM_MASTER!$A:$C,2,0),"?")</f>
        <v>?</v>
      </c>
      <c r="E250" s="224" t="str">
        <f>IFERROR(VLOOKUP(C250,ITEM_MASTER!$A:$C,3,0),"?")</f>
        <v>?</v>
      </c>
      <c r="F250" s="224" t="str">
        <f>IFERROR(VLOOKUP(C250,ITEM_MASTER!$A:$D,4,0),"?")</f>
        <v>?</v>
      </c>
      <c r="G250" s="224"/>
      <c r="H250" s="224"/>
      <c r="I250" s="24" t="s">
        <v>144</v>
      </c>
      <c r="J250" s="223" t="s">
        <v>722</v>
      </c>
      <c r="K250" s="223"/>
      <c r="L250" s="223"/>
    </row>
    <row r="251" ht="15.75" customHeight="1">
      <c r="A251" s="225"/>
      <c r="B251" s="24"/>
      <c r="C251" s="225"/>
      <c r="D251" s="206" t="str">
        <f>IFERROR(VLOOKUP(C251,ITEM_MASTER!$A:$C,2,0),"?")</f>
        <v>?</v>
      </c>
      <c r="E251" s="206" t="str">
        <f>IFERROR(VLOOKUP(C251,ITEM_MASTER!$A:$C,3,0),"?")</f>
        <v>?</v>
      </c>
      <c r="F251" s="206" t="str">
        <f>IFERROR(VLOOKUP(C251,ITEM_MASTER!$A:$D,4,0),"?")</f>
        <v>?</v>
      </c>
      <c r="G251" s="206"/>
      <c r="H251" s="206"/>
      <c r="I251" s="24" t="s">
        <v>144</v>
      </c>
      <c r="J251" s="24" t="s">
        <v>722</v>
      </c>
      <c r="K251" s="24"/>
      <c r="L251" s="24"/>
    </row>
    <row r="252" ht="15.75" customHeight="1">
      <c r="A252" s="222"/>
      <c r="B252" s="223"/>
      <c r="C252" s="222"/>
      <c r="D252" s="224" t="str">
        <f>IFERROR(VLOOKUP(C252,ITEM_MASTER!$A:$C,2,0),"?")</f>
        <v>?</v>
      </c>
      <c r="E252" s="224" t="str">
        <f>IFERROR(VLOOKUP(C252,ITEM_MASTER!$A:$C,3,0),"?")</f>
        <v>?</v>
      </c>
      <c r="F252" s="224" t="str">
        <f>IFERROR(VLOOKUP(C252,ITEM_MASTER!$A:$D,4,0),"?")</f>
        <v>?</v>
      </c>
      <c r="G252" s="224"/>
      <c r="H252" s="224"/>
      <c r="I252" s="24" t="s">
        <v>144</v>
      </c>
      <c r="J252" s="223" t="s">
        <v>722</v>
      </c>
      <c r="K252" s="223"/>
      <c r="L252" s="223"/>
    </row>
    <row r="253" ht="15.75" customHeight="1">
      <c r="A253" s="225"/>
      <c r="B253" s="24"/>
      <c r="C253" s="225"/>
      <c r="D253" s="206" t="str">
        <f>IFERROR(VLOOKUP(C253,ITEM_MASTER!$A:$C,2,0),"?")</f>
        <v>?</v>
      </c>
      <c r="E253" s="206" t="str">
        <f>IFERROR(VLOOKUP(C253,ITEM_MASTER!$A:$C,3,0),"?")</f>
        <v>?</v>
      </c>
      <c r="F253" s="206" t="str">
        <f>IFERROR(VLOOKUP(C253,ITEM_MASTER!$A:$D,4,0),"?")</f>
        <v>?</v>
      </c>
      <c r="G253" s="206"/>
      <c r="H253" s="206"/>
      <c r="I253" s="24" t="s">
        <v>144</v>
      </c>
      <c r="J253" s="24" t="s">
        <v>722</v>
      </c>
      <c r="K253" s="24"/>
      <c r="L253" s="24"/>
    </row>
    <row r="254" ht="15.75" customHeight="1">
      <c r="A254" s="222"/>
      <c r="B254" s="223"/>
      <c r="C254" s="222"/>
      <c r="D254" s="224" t="str">
        <f>IFERROR(VLOOKUP(C254,ITEM_MASTER!$A:$C,2,0),"?")</f>
        <v>?</v>
      </c>
      <c r="E254" s="224" t="str">
        <f>IFERROR(VLOOKUP(C254,ITEM_MASTER!$A:$C,3,0),"?")</f>
        <v>?</v>
      </c>
      <c r="F254" s="224" t="str">
        <f>IFERROR(VLOOKUP(C254,ITEM_MASTER!$A:$D,4,0),"?")</f>
        <v>?</v>
      </c>
      <c r="G254" s="224"/>
      <c r="H254" s="224"/>
      <c r="I254" s="24" t="s">
        <v>144</v>
      </c>
      <c r="J254" s="223" t="s">
        <v>722</v>
      </c>
      <c r="K254" s="223"/>
      <c r="L254" s="223"/>
    </row>
    <row r="255" ht="15.75" customHeight="1">
      <c r="A255" s="225"/>
      <c r="B255" s="24"/>
      <c r="C255" s="225"/>
      <c r="D255" s="206" t="str">
        <f>IFERROR(VLOOKUP(C255,ITEM_MASTER!$A:$C,2,0),"?")</f>
        <v>?</v>
      </c>
      <c r="E255" s="206" t="str">
        <f>IFERROR(VLOOKUP(C255,ITEM_MASTER!$A:$C,3,0),"?")</f>
        <v>?</v>
      </c>
      <c r="F255" s="206" t="str">
        <f>IFERROR(VLOOKUP(C255,ITEM_MASTER!$A:$D,4,0),"?")</f>
        <v>?</v>
      </c>
      <c r="G255" s="206"/>
      <c r="H255" s="206"/>
      <c r="I255" s="24" t="s">
        <v>144</v>
      </c>
      <c r="J255" s="24" t="s">
        <v>722</v>
      </c>
      <c r="K255" s="24"/>
      <c r="L255" s="24"/>
    </row>
    <row r="256" ht="15.75" customHeight="1">
      <c r="A256" s="222"/>
      <c r="B256" s="223"/>
      <c r="C256" s="222"/>
      <c r="D256" s="224" t="str">
        <f>IFERROR(VLOOKUP(C256,ITEM_MASTER!$A:$C,2,0),"?")</f>
        <v>?</v>
      </c>
      <c r="E256" s="224" t="str">
        <f>IFERROR(VLOOKUP(C256,ITEM_MASTER!$A:$C,3,0),"?")</f>
        <v>?</v>
      </c>
      <c r="F256" s="224" t="str">
        <f>IFERROR(VLOOKUP(C256,ITEM_MASTER!$A:$D,4,0),"?")</f>
        <v>?</v>
      </c>
      <c r="G256" s="224"/>
      <c r="H256" s="224"/>
      <c r="I256" s="24" t="s">
        <v>144</v>
      </c>
      <c r="J256" s="223" t="s">
        <v>722</v>
      </c>
      <c r="K256" s="223"/>
      <c r="L256" s="223"/>
    </row>
    <row r="257" ht="15.75" customHeight="1">
      <c r="A257" s="225"/>
      <c r="B257" s="24"/>
      <c r="C257" s="225"/>
      <c r="D257" s="206" t="str">
        <f>IFERROR(VLOOKUP(C257,ITEM_MASTER!$A:$C,2,0),"?")</f>
        <v>?</v>
      </c>
      <c r="E257" s="206" t="str">
        <f>IFERROR(VLOOKUP(C257,ITEM_MASTER!$A:$C,3,0),"?")</f>
        <v>?</v>
      </c>
      <c r="F257" s="206" t="str">
        <f>IFERROR(VLOOKUP(C257,ITEM_MASTER!$A:$D,4,0),"?")</f>
        <v>?</v>
      </c>
      <c r="G257" s="206"/>
      <c r="H257" s="206"/>
      <c r="I257" s="24" t="s">
        <v>144</v>
      </c>
      <c r="J257" s="24" t="s">
        <v>722</v>
      </c>
      <c r="K257" s="24"/>
      <c r="L257" s="24"/>
    </row>
    <row r="258" ht="15.75" customHeight="1">
      <c r="A258" s="222"/>
      <c r="B258" s="223"/>
      <c r="C258" s="222"/>
      <c r="D258" s="224" t="str">
        <f>IFERROR(VLOOKUP(C258,ITEM_MASTER!$A:$C,2,0),"?")</f>
        <v>?</v>
      </c>
      <c r="E258" s="224" t="str">
        <f>IFERROR(VLOOKUP(C258,ITEM_MASTER!$A:$C,3,0),"?")</f>
        <v>?</v>
      </c>
      <c r="F258" s="224" t="str">
        <f>IFERROR(VLOOKUP(C258,ITEM_MASTER!$A:$D,4,0),"?")</f>
        <v>?</v>
      </c>
      <c r="G258" s="224"/>
      <c r="H258" s="224"/>
      <c r="I258" s="24" t="s">
        <v>144</v>
      </c>
      <c r="J258" s="223" t="s">
        <v>722</v>
      </c>
      <c r="K258" s="223"/>
      <c r="L258" s="223"/>
    </row>
    <row r="259" ht="15.75" customHeight="1">
      <c r="A259" s="225"/>
      <c r="B259" s="24"/>
      <c r="C259" s="225"/>
      <c r="D259" s="206" t="str">
        <f>IFERROR(VLOOKUP(C259,ITEM_MASTER!$A:$C,2,0),"?")</f>
        <v>?</v>
      </c>
      <c r="E259" s="206" t="str">
        <f>IFERROR(VLOOKUP(C259,ITEM_MASTER!$A:$C,3,0),"?")</f>
        <v>?</v>
      </c>
      <c r="F259" s="206" t="str">
        <f>IFERROR(VLOOKUP(C259,ITEM_MASTER!$A:$D,4,0),"?")</f>
        <v>?</v>
      </c>
      <c r="G259" s="206"/>
      <c r="H259" s="206"/>
      <c r="I259" s="24" t="s">
        <v>144</v>
      </c>
      <c r="J259" s="24" t="s">
        <v>722</v>
      </c>
      <c r="K259" s="24"/>
      <c r="L259" s="24"/>
    </row>
    <row r="260" ht="15.75" customHeight="1">
      <c r="A260" s="222"/>
      <c r="B260" s="223"/>
      <c r="C260" s="222"/>
      <c r="D260" s="224" t="str">
        <f>IFERROR(VLOOKUP(C260,ITEM_MASTER!$A:$C,2,0),"?")</f>
        <v>?</v>
      </c>
      <c r="E260" s="224" t="str">
        <f>IFERROR(VLOOKUP(C260,ITEM_MASTER!$A:$C,3,0),"?")</f>
        <v>?</v>
      </c>
      <c r="F260" s="224" t="str">
        <f>IFERROR(VLOOKUP(C260,ITEM_MASTER!$A:$D,4,0),"?")</f>
        <v>?</v>
      </c>
      <c r="G260" s="224"/>
      <c r="H260" s="224"/>
      <c r="I260" s="24" t="s">
        <v>144</v>
      </c>
      <c r="J260" s="223" t="s">
        <v>722</v>
      </c>
      <c r="K260" s="223"/>
      <c r="L260" s="223"/>
    </row>
    <row r="261" ht="15.75" customHeight="1">
      <c r="A261" s="225"/>
      <c r="B261" s="24"/>
      <c r="C261" s="225"/>
      <c r="D261" s="206" t="str">
        <f>IFERROR(VLOOKUP(C261,ITEM_MASTER!$A:$C,2,0),"?")</f>
        <v>?</v>
      </c>
      <c r="E261" s="206" t="str">
        <f>IFERROR(VLOOKUP(C261,ITEM_MASTER!$A:$C,3,0),"?")</f>
        <v>?</v>
      </c>
      <c r="F261" s="206" t="str">
        <f>IFERROR(VLOOKUP(C261,ITEM_MASTER!$A:$D,4,0),"?")</f>
        <v>?</v>
      </c>
      <c r="G261" s="206"/>
      <c r="H261" s="206"/>
      <c r="I261" s="24" t="s">
        <v>144</v>
      </c>
      <c r="J261" s="24" t="s">
        <v>722</v>
      </c>
      <c r="K261" s="24"/>
      <c r="L261" s="24"/>
    </row>
    <row r="262" ht="15.75" customHeight="1">
      <c r="A262" s="222"/>
      <c r="B262" s="223"/>
      <c r="C262" s="222"/>
      <c r="D262" s="224" t="str">
        <f>IFERROR(VLOOKUP(C262,ITEM_MASTER!$A:$C,2,0),"?")</f>
        <v>?</v>
      </c>
      <c r="E262" s="224" t="str">
        <f>IFERROR(VLOOKUP(C262,ITEM_MASTER!$A:$C,3,0),"?")</f>
        <v>?</v>
      </c>
      <c r="F262" s="224" t="str">
        <f>IFERROR(VLOOKUP(C262,ITEM_MASTER!$A:$D,4,0),"?")</f>
        <v>?</v>
      </c>
      <c r="G262" s="224"/>
      <c r="H262" s="224"/>
      <c r="I262" s="24" t="s">
        <v>144</v>
      </c>
      <c r="J262" s="223" t="s">
        <v>722</v>
      </c>
      <c r="K262" s="223"/>
      <c r="L262" s="223"/>
    </row>
    <row r="263" ht="13.5" customHeight="1">
      <c r="A263" s="226" t="s">
        <v>724</v>
      </c>
    </row>
    <row r="264" ht="15.75" customHeight="1">
      <c r="A264" s="65"/>
      <c r="B264" s="66"/>
      <c r="C264" s="65"/>
      <c r="D264" s="227" t="str">
        <f>IFERROR(VLOOKUP(C264,ITEM_MASTER!$A:$C,2,0),"?")</f>
        <v>?</v>
      </c>
      <c r="E264" s="227" t="str">
        <f>IFERROR(VLOOKUP(C264,ITEM_MASTER!$A:$C,3,0),"?")</f>
        <v>?</v>
      </c>
      <c r="F264" s="227" t="str">
        <f>IFERROR(VLOOKUP(C264,ITEM_MASTER!$A:$D,4,0),"?")</f>
        <v>?</v>
      </c>
      <c r="G264" s="227"/>
      <c r="H264" s="227"/>
      <c r="I264" s="24" t="s">
        <v>144</v>
      </c>
      <c r="J264" s="66" t="s">
        <v>722</v>
      </c>
      <c r="K264" s="66"/>
      <c r="L264" s="66"/>
    </row>
    <row r="265" ht="15.75" customHeight="1">
      <c r="A265" s="228"/>
      <c r="B265" s="24"/>
      <c r="C265" s="228"/>
      <c r="D265" s="206" t="str">
        <f>IFERROR(VLOOKUP(C265,ITEM_MASTER!$A:$C,2,0),"?")</f>
        <v>?</v>
      </c>
      <c r="E265" s="206" t="str">
        <f>IFERROR(VLOOKUP(C265,ITEM_MASTER!$A:$C,3,0),"?")</f>
        <v>?</v>
      </c>
      <c r="F265" s="206" t="str">
        <f>IFERROR(VLOOKUP(C265,ITEM_MASTER!$A:$D,4,0),"?")</f>
        <v>?</v>
      </c>
      <c r="G265" s="206"/>
      <c r="H265" s="206"/>
      <c r="I265" s="24" t="s">
        <v>144</v>
      </c>
      <c r="J265" s="24" t="s">
        <v>722</v>
      </c>
      <c r="K265" s="24"/>
      <c r="L265" s="24"/>
    </row>
    <row r="266" ht="15.75" customHeight="1">
      <c r="A266" s="65"/>
      <c r="B266" s="66"/>
      <c r="C266" s="65"/>
      <c r="D266" s="227" t="str">
        <f>IFERROR(VLOOKUP(C266,ITEM_MASTER!$A:$C,2,0),"?")</f>
        <v>?</v>
      </c>
      <c r="E266" s="227" t="str">
        <f>IFERROR(VLOOKUP(C266,ITEM_MASTER!$A:$C,3,0),"?")</f>
        <v>?</v>
      </c>
      <c r="F266" s="227" t="str">
        <f>IFERROR(VLOOKUP(C266,ITEM_MASTER!$A:$D,4,0),"?")</f>
        <v>?</v>
      </c>
      <c r="G266" s="227"/>
      <c r="H266" s="227"/>
      <c r="I266" s="24" t="s">
        <v>144</v>
      </c>
      <c r="J266" s="66" t="s">
        <v>722</v>
      </c>
      <c r="K266" s="66"/>
      <c r="L266" s="66"/>
    </row>
    <row r="267" ht="15.75" customHeight="1">
      <c r="A267" s="228"/>
      <c r="B267" s="24"/>
      <c r="C267" s="228"/>
      <c r="D267" s="206" t="str">
        <f>IFERROR(VLOOKUP(C267,ITEM_MASTER!$A:$C,2,0),"?")</f>
        <v>?</v>
      </c>
      <c r="E267" s="206" t="str">
        <f>IFERROR(VLOOKUP(C267,ITEM_MASTER!$A:$C,3,0),"?")</f>
        <v>?</v>
      </c>
      <c r="F267" s="206" t="str">
        <f>IFERROR(VLOOKUP(C267,ITEM_MASTER!$A:$D,4,0),"?")</f>
        <v>?</v>
      </c>
      <c r="G267" s="206"/>
      <c r="H267" s="206"/>
      <c r="I267" s="24" t="s">
        <v>144</v>
      </c>
      <c r="J267" s="24" t="s">
        <v>722</v>
      </c>
      <c r="K267" s="24"/>
      <c r="L267" s="24"/>
    </row>
    <row r="268" ht="15.75" customHeight="1">
      <c r="A268" s="65"/>
      <c r="B268" s="66"/>
      <c r="C268" s="65"/>
      <c r="D268" s="227" t="str">
        <f>IFERROR(VLOOKUP(C268,ITEM_MASTER!$A:$C,2,0),"?")</f>
        <v>?</v>
      </c>
      <c r="E268" s="227" t="str">
        <f>IFERROR(VLOOKUP(C268,ITEM_MASTER!$A:$C,3,0),"?")</f>
        <v>?</v>
      </c>
      <c r="F268" s="227" t="str">
        <f>IFERROR(VLOOKUP(C268,ITEM_MASTER!$A:$D,4,0),"?")</f>
        <v>?</v>
      </c>
      <c r="G268" s="227"/>
      <c r="H268" s="227"/>
      <c r="I268" s="24" t="s">
        <v>144</v>
      </c>
      <c r="J268" s="66" t="s">
        <v>722</v>
      </c>
      <c r="K268" s="66"/>
      <c r="L268" s="66"/>
    </row>
    <row r="269" ht="15.75" customHeight="1">
      <c r="A269" s="228"/>
      <c r="B269" s="24"/>
      <c r="C269" s="228"/>
      <c r="D269" s="206" t="str">
        <f>IFERROR(VLOOKUP(C269,ITEM_MASTER!$A:$C,2,0),"?")</f>
        <v>?</v>
      </c>
      <c r="E269" s="206" t="str">
        <f>IFERROR(VLOOKUP(C269,ITEM_MASTER!$A:$C,3,0),"?")</f>
        <v>?</v>
      </c>
      <c r="F269" s="206" t="str">
        <f>IFERROR(VLOOKUP(C269,ITEM_MASTER!$A:$D,4,0),"?")</f>
        <v>?</v>
      </c>
      <c r="G269" s="206"/>
      <c r="H269" s="206"/>
      <c r="I269" s="24" t="s">
        <v>144</v>
      </c>
      <c r="J269" s="24" t="s">
        <v>722</v>
      </c>
      <c r="K269" s="24"/>
      <c r="L269" s="24"/>
    </row>
    <row r="270" ht="15.75" customHeight="1">
      <c r="A270" s="65"/>
      <c r="B270" s="66"/>
      <c r="C270" s="65"/>
      <c r="D270" s="227" t="str">
        <f>IFERROR(VLOOKUP(C270,ITEM_MASTER!$A:$C,2,0),"?")</f>
        <v>?</v>
      </c>
      <c r="E270" s="227" t="str">
        <f>IFERROR(VLOOKUP(C270,ITEM_MASTER!$A:$C,3,0),"?")</f>
        <v>?</v>
      </c>
      <c r="F270" s="227" t="str">
        <f>IFERROR(VLOOKUP(C270,ITEM_MASTER!$A:$D,4,0),"?")</f>
        <v>?</v>
      </c>
      <c r="G270" s="227"/>
      <c r="H270" s="227"/>
      <c r="I270" s="24" t="s">
        <v>144</v>
      </c>
      <c r="J270" s="66" t="s">
        <v>722</v>
      </c>
      <c r="K270" s="66"/>
      <c r="L270" s="66"/>
    </row>
    <row r="271" ht="15.75" customHeight="1">
      <c r="A271" s="228"/>
      <c r="B271" s="24"/>
      <c r="C271" s="228"/>
      <c r="D271" s="206" t="str">
        <f>IFERROR(VLOOKUP(C271,ITEM_MASTER!$A:$C,2,0),"?")</f>
        <v>?</v>
      </c>
      <c r="E271" s="206" t="str">
        <f>IFERROR(VLOOKUP(C271,ITEM_MASTER!$A:$C,3,0),"?")</f>
        <v>?</v>
      </c>
      <c r="F271" s="206" t="str">
        <f>IFERROR(VLOOKUP(C271,ITEM_MASTER!$A:$D,4,0),"?")</f>
        <v>?</v>
      </c>
      <c r="G271" s="206"/>
      <c r="H271" s="206"/>
      <c r="I271" s="24" t="s">
        <v>144</v>
      </c>
      <c r="J271" s="24" t="s">
        <v>722</v>
      </c>
      <c r="K271" s="24"/>
      <c r="L271" s="24"/>
    </row>
    <row r="272" ht="15.75" customHeight="1">
      <c r="A272" s="65"/>
      <c r="B272" s="66"/>
      <c r="C272" s="65"/>
      <c r="D272" s="227" t="str">
        <f>IFERROR(VLOOKUP(C272,ITEM_MASTER!$A:$C,2,0),"?")</f>
        <v>?</v>
      </c>
      <c r="E272" s="227" t="str">
        <f>IFERROR(VLOOKUP(C272,ITEM_MASTER!$A:$C,3,0),"?")</f>
        <v>?</v>
      </c>
      <c r="F272" s="227" t="str">
        <f>IFERROR(VLOOKUP(C272,ITEM_MASTER!$A:$D,4,0),"?")</f>
        <v>?</v>
      </c>
      <c r="G272" s="227"/>
      <c r="H272" s="227"/>
      <c r="I272" s="24" t="s">
        <v>144</v>
      </c>
      <c r="J272" s="66" t="s">
        <v>722</v>
      </c>
      <c r="K272" s="66"/>
      <c r="L272" s="66"/>
    </row>
    <row r="273" ht="15.75" customHeight="1">
      <c r="A273" s="228"/>
      <c r="B273" s="24"/>
      <c r="C273" s="228"/>
      <c r="D273" s="206" t="str">
        <f>IFERROR(VLOOKUP(C273,ITEM_MASTER!$A:$C,2,0),"?")</f>
        <v>?</v>
      </c>
      <c r="E273" s="206" t="str">
        <f>IFERROR(VLOOKUP(C273,ITEM_MASTER!$A:$C,3,0),"?")</f>
        <v>?</v>
      </c>
      <c r="F273" s="206" t="str">
        <f>IFERROR(VLOOKUP(C273,ITEM_MASTER!$A:$D,4,0),"?")</f>
        <v>?</v>
      </c>
      <c r="G273" s="206"/>
      <c r="H273" s="206"/>
      <c r="I273" s="24" t="s">
        <v>144</v>
      </c>
      <c r="J273" s="24" t="s">
        <v>722</v>
      </c>
      <c r="K273" s="24"/>
      <c r="L273" s="24"/>
    </row>
    <row r="274" ht="15.75" customHeight="1">
      <c r="A274" s="65"/>
      <c r="B274" s="66"/>
      <c r="C274" s="65"/>
      <c r="D274" s="227" t="str">
        <f>IFERROR(VLOOKUP(C274,ITEM_MASTER!$A:$C,2,0),"?")</f>
        <v>?</v>
      </c>
      <c r="E274" s="227" t="str">
        <f>IFERROR(VLOOKUP(C274,ITEM_MASTER!$A:$C,3,0),"?")</f>
        <v>?</v>
      </c>
      <c r="F274" s="227" t="str">
        <f>IFERROR(VLOOKUP(C274,ITEM_MASTER!$A:$D,4,0),"?")</f>
        <v>?</v>
      </c>
      <c r="G274" s="227"/>
      <c r="H274" s="227"/>
      <c r="I274" s="24" t="s">
        <v>144</v>
      </c>
      <c r="J274" s="66" t="s">
        <v>722</v>
      </c>
      <c r="K274" s="66"/>
      <c r="L274" s="66"/>
    </row>
    <row r="275" ht="15.75" customHeight="1">
      <c r="A275" s="228"/>
      <c r="B275" s="24"/>
      <c r="C275" s="228"/>
      <c r="D275" s="206" t="str">
        <f>IFERROR(VLOOKUP(C275,ITEM_MASTER!$A:$C,2,0),"?")</f>
        <v>?</v>
      </c>
      <c r="E275" s="206" t="str">
        <f>IFERROR(VLOOKUP(C275,ITEM_MASTER!$A:$C,3,0),"?")</f>
        <v>?</v>
      </c>
      <c r="F275" s="206" t="str">
        <f>IFERROR(VLOOKUP(C275,ITEM_MASTER!$A:$D,4,0),"?")</f>
        <v>?</v>
      </c>
      <c r="G275" s="206"/>
      <c r="H275" s="206"/>
      <c r="I275" s="24" t="s">
        <v>144</v>
      </c>
      <c r="J275" s="24" t="s">
        <v>722</v>
      </c>
      <c r="K275" s="24"/>
      <c r="L275" s="24"/>
    </row>
    <row r="276" ht="15.75" customHeight="1">
      <c r="A276" s="65"/>
      <c r="B276" s="66"/>
      <c r="C276" s="65"/>
      <c r="D276" s="227" t="str">
        <f>IFERROR(VLOOKUP(C276,ITEM_MASTER!$A:$C,2,0),"?")</f>
        <v>?</v>
      </c>
      <c r="E276" s="227" t="str">
        <f>IFERROR(VLOOKUP(C276,ITEM_MASTER!$A:$C,3,0),"?")</f>
        <v>?</v>
      </c>
      <c r="F276" s="227" t="str">
        <f>IFERROR(VLOOKUP(C276,ITEM_MASTER!$A:$D,4,0),"?")</f>
        <v>?</v>
      </c>
      <c r="G276" s="227"/>
      <c r="H276" s="227"/>
      <c r="I276" s="24" t="s">
        <v>144</v>
      </c>
      <c r="J276" s="66" t="s">
        <v>722</v>
      </c>
      <c r="K276" s="66"/>
      <c r="L276" s="66"/>
    </row>
    <row r="277" ht="15.75" customHeight="1">
      <c r="A277" s="228"/>
      <c r="B277" s="24"/>
      <c r="C277" s="228"/>
      <c r="D277" s="206" t="str">
        <f>IFERROR(VLOOKUP(C277,ITEM_MASTER!$A:$C,2,0),"?")</f>
        <v>?</v>
      </c>
      <c r="E277" s="206" t="str">
        <f>IFERROR(VLOOKUP(C277,ITEM_MASTER!$A:$C,3,0),"?")</f>
        <v>?</v>
      </c>
      <c r="F277" s="206" t="str">
        <f>IFERROR(VLOOKUP(C277,ITEM_MASTER!$A:$D,4,0),"?")</f>
        <v>?</v>
      </c>
      <c r="G277" s="206"/>
      <c r="H277" s="206"/>
      <c r="I277" s="24" t="s">
        <v>144</v>
      </c>
      <c r="J277" s="24" t="s">
        <v>722</v>
      </c>
      <c r="K277" s="24"/>
      <c r="L277" s="24"/>
    </row>
    <row r="278" ht="15.75" customHeight="1">
      <c r="A278" s="65"/>
      <c r="B278" s="66"/>
      <c r="C278" s="65"/>
      <c r="D278" s="227" t="str">
        <f>IFERROR(VLOOKUP(C278,ITEM_MASTER!$A:$C,2,0),"?")</f>
        <v>?</v>
      </c>
      <c r="E278" s="227" t="str">
        <f>IFERROR(VLOOKUP(C278,ITEM_MASTER!$A:$C,3,0),"?")</f>
        <v>?</v>
      </c>
      <c r="F278" s="227" t="str">
        <f>IFERROR(VLOOKUP(C278,ITEM_MASTER!$A:$D,4,0),"?")</f>
        <v>?</v>
      </c>
      <c r="G278" s="227"/>
      <c r="H278" s="227"/>
      <c r="I278" s="24" t="s">
        <v>144</v>
      </c>
      <c r="J278" s="66" t="s">
        <v>722</v>
      </c>
      <c r="K278" s="66"/>
      <c r="L278" s="66"/>
    </row>
    <row r="279" ht="15.75" customHeight="1">
      <c r="A279" s="228"/>
      <c r="B279" s="24"/>
      <c r="C279" s="228"/>
      <c r="D279" s="206" t="str">
        <f>IFERROR(VLOOKUP(C279,ITEM_MASTER!$A:$C,2,0),"?")</f>
        <v>?</v>
      </c>
      <c r="E279" s="206" t="str">
        <f>IFERROR(VLOOKUP(C279,ITEM_MASTER!$A:$C,3,0),"?")</f>
        <v>?</v>
      </c>
      <c r="F279" s="206" t="str">
        <f>IFERROR(VLOOKUP(C279,ITEM_MASTER!$A:$D,4,0),"?")</f>
        <v>?</v>
      </c>
      <c r="G279" s="206"/>
      <c r="H279" s="206"/>
      <c r="I279" s="24" t="s">
        <v>144</v>
      </c>
      <c r="J279" s="24" t="s">
        <v>722</v>
      </c>
      <c r="K279" s="24"/>
      <c r="L279" s="24"/>
    </row>
    <row r="280" ht="15.75" customHeight="1">
      <c r="A280" s="65"/>
      <c r="B280" s="66"/>
      <c r="C280" s="65"/>
      <c r="D280" s="227" t="str">
        <f>IFERROR(VLOOKUP(C280,ITEM_MASTER!$A:$C,2,0),"?")</f>
        <v>?</v>
      </c>
      <c r="E280" s="227" t="str">
        <f>IFERROR(VLOOKUP(C280,ITEM_MASTER!$A:$C,3,0),"?")</f>
        <v>?</v>
      </c>
      <c r="F280" s="227" t="str">
        <f>IFERROR(VLOOKUP(C280,ITEM_MASTER!$A:$D,4,0),"?")</f>
        <v>?</v>
      </c>
      <c r="G280" s="227"/>
      <c r="H280" s="227"/>
      <c r="I280" s="24" t="s">
        <v>144</v>
      </c>
      <c r="J280" s="66" t="s">
        <v>722</v>
      </c>
      <c r="K280" s="66"/>
      <c r="L280" s="66"/>
    </row>
    <row r="281" ht="15.75" customHeight="1">
      <c r="A281" s="135"/>
      <c r="I281" s="135"/>
      <c r="J281" s="135"/>
      <c r="K281" s="135"/>
    </row>
    <row r="282" ht="15.75" customHeight="1">
      <c r="A282" s="135"/>
      <c r="I282" s="135"/>
      <c r="J282" s="135"/>
      <c r="K282" s="135"/>
    </row>
    <row r="283" ht="15.75" customHeight="1">
      <c r="A283" s="135"/>
      <c r="I283" s="135"/>
      <c r="J283" s="135"/>
      <c r="K283" s="135"/>
    </row>
    <row r="284" ht="15.75" customHeight="1">
      <c r="A284" s="135"/>
      <c r="I284" s="135"/>
      <c r="J284" s="135"/>
      <c r="K284" s="135"/>
    </row>
    <row r="285" ht="15.75" customHeight="1">
      <c r="A285" s="135"/>
      <c r="I285" s="135"/>
      <c r="J285" s="135"/>
      <c r="K285" s="135"/>
    </row>
    <row r="286" ht="15.75" customHeight="1">
      <c r="A286" s="135"/>
      <c r="I286" s="135"/>
      <c r="J286" s="135"/>
      <c r="K286" s="135"/>
    </row>
    <row r="287" ht="15.75" customHeight="1">
      <c r="A287" s="135"/>
      <c r="I287" s="135"/>
      <c r="J287" s="135"/>
      <c r="K287" s="135"/>
    </row>
    <row r="288" ht="15.75" customHeight="1">
      <c r="A288" s="135"/>
      <c r="I288" s="135"/>
      <c r="J288" s="135"/>
      <c r="K288" s="135"/>
    </row>
    <row r="289" ht="15.75" customHeight="1">
      <c r="A289" s="135"/>
      <c r="I289" s="135"/>
      <c r="J289" s="135"/>
      <c r="K289" s="135"/>
    </row>
    <row r="290" ht="15.75" customHeight="1">
      <c r="A290" s="135"/>
      <c r="I290" s="135"/>
      <c r="J290" s="135"/>
      <c r="K290" s="135"/>
    </row>
    <row r="291" ht="15.75" customHeight="1">
      <c r="A291" s="135"/>
      <c r="I291" s="135"/>
      <c r="J291" s="135"/>
      <c r="K291" s="135"/>
    </row>
    <row r="292" ht="15.75" customHeight="1">
      <c r="A292" s="135"/>
      <c r="I292" s="135"/>
      <c r="J292" s="135"/>
      <c r="K292" s="135"/>
    </row>
    <row r="293" ht="15.75" customHeight="1">
      <c r="A293" s="135"/>
      <c r="I293" s="135"/>
      <c r="J293" s="135"/>
      <c r="K293" s="135"/>
    </row>
    <row r="294" ht="15.75" customHeight="1">
      <c r="A294" s="135"/>
      <c r="I294" s="135"/>
      <c r="J294" s="135"/>
      <c r="K294" s="135"/>
    </row>
    <row r="295" ht="15.75" customHeight="1">
      <c r="A295" s="135"/>
      <c r="I295" s="135"/>
      <c r="J295" s="135"/>
      <c r="K295" s="135"/>
    </row>
    <row r="296" ht="15.75" customHeight="1">
      <c r="A296" s="135"/>
      <c r="I296" s="135"/>
      <c r="J296" s="135"/>
      <c r="K296" s="135"/>
    </row>
    <row r="297" ht="15.75" customHeight="1">
      <c r="A297" s="135"/>
      <c r="I297" s="135"/>
      <c r="J297" s="135"/>
      <c r="K297" s="135"/>
    </row>
    <row r="298" ht="15.75" customHeight="1">
      <c r="A298" s="135"/>
      <c r="I298" s="135"/>
      <c r="J298" s="135"/>
      <c r="K298" s="135"/>
    </row>
    <row r="299" ht="15.75" customHeight="1">
      <c r="A299" s="135"/>
      <c r="I299" s="135"/>
      <c r="J299" s="135"/>
      <c r="K299" s="135"/>
    </row>
    <row r="300" ht="15.75" customHeight="1">
      <c r="A300" s="135"/>
      <c r="I300" s="135"/>
      <c r="J300" s="135"/>
      <c r="K300" s="135"/>
    </row>
    <row r="301" ht="15.75" customHeight="1">
      <c r="A301" s="135"/>
      <c r="I301" s="135"/>
      <c r="J301" s="135"/>
      <c r="K301" s="135"/>
    </row>
    <row r="302" ht="15.75" customHeight="1">
      <c r="A302" s="135"/>
      <c r="I302" s="135"/>
      <c r="J302" s="135"/>
      <c r="K302" s="135"/>
    </row>
    <row r="303" ht="15.75" customHeight="1">
      <c r="A303" s="135"/>
      <c r="I303" s="135"/>
      <c r="J303" s="135"/>
      <c r="K303" s="135"/>
    </row>
    <row r="304" ht="15.75" customHeight="1">
      <c r="A304" s="135"/>
      <c r="I304" s="135"/>
      <c r="J304" s="135"/>
      <c r="K304" s="135"/>
    </row>
    <row r="305" ht="15.75" customHeight="1">
      <c r="A305" s="135"/>
      <c r="I305" s="135"/>
      <c r="J305" s="135"/>
      <c r="K305" s="135"/>
    </row>
    <row r="306" ht="15.75" customHeight="1">
      <c r="A306" s="135"/>
      <c r="I306" s="135"/>
      <c r="J306" s="135"/>
      <c r="K306" s="135"/>
    </row>
    <row r="307" ht="15.75" customHeight="1">
      <c r="A307" s="135"/>
      <c r="I307" s="135"/>
      <c r="J307" s="135"/>
      <c r="K307" s="135"/>
    </row>
    <row r="308" ht="15.75" customHeight="1">
      <c r="A308" s="135"/>
      <c r="I308" s="135"/>
      <c r="J308" s="135"/>
      <c r="K308" s="135"/>
    </row>
    <row r="309" ht="15.75" customHeight="1">
      <c r="A309" s="135"/>
      <c r="I309" s="135"/>
      <c r="J309" s="135"/>
      <c r="K309" s="135"/>
    </row>
    <row r="310" ht="15.75" customHeight="1">
      <c r="A310" s="135"/>
      <c r="I310" s="135"/>
      <c r="J310" s="135"/>
      <c r="K310" s="135"/>
    </row>
    <row r="311" ht="15.75" customHeight="1">
      <c r="A311" s="135"/>
      <c r="I311" s="135"/>
      <c r="J311" s="135"/>
      <c r="K311" s="135"/>
    </row>
    <row r="312" ht="15.75" customHeight="1">
      <c r="A312" s="135"/>
      <c r="I312" s="135"/>
      <c r="J312" s="135"/>
      <c r="K312" s="135"/>
    </row>
    <row r="313" ht="15.75" customHeight="1">
      <c r="A313" s="135"/>
      <c r="I313" s="135"/>
      <c r="J313" s="135"/>
      <c r="K313" s="135"/>
    </row>
    <row r="314" ht="15.75" customHeight="1">
      <c r="A314" s="135"/>
      <c r="I314" s="135"/>
      <c r="J314" s="135"/>
      <c r="K314" s="135"/>
    </row>
    <row r="315" ht="15.75" customHeight="1">
      <c r="A315" s="135"/>
      <c r="I315" s="135"/>
      <c r="J315" s="135"/>
      <c r="K315" s="135"/>
    </row>
    <row r="316" ht="15.75" customHeight="1">
      <c r="A316" s="135"/>
      <c r="I316" s="135"/>
      <c r="J316" s="135"/>
      <c r="K316" s="135"/>
    </row>
    <row r="317" ht="15.75" customHeight="1">
      <c r="A317" s="135"/>
      <c r="I317" s="135"/>
      <c r="J317" s="135"/>
      <c r="K317" s="135"/>
    </row>
    <row r="318" ht="15.75" customHeight="1">
      <c r="A318" s="135"/>
      <c r="I318" s="135"/>
      <c r="J318" s="135"/>
      <c r="K318" s="135"/>
    </row>
    <row r="319" ht="15.75" customHeight="1">
      <c r="A319" s="135"/>
      <c r="I319" s="135"/>
      <c r="J319" s="135"/>
      <c r="K319" s="135"/>
    </row>
    <row r="320" ht="15.75" customHeight="1">
      <c r="A320" s="135"/>
      <c r="I320" s="135"/>
      <c r="J320" s="135"/>
      <c r="K320" s="135"/>
    </row>
    <row r="321" ht="15.75" customHeight="1">
      <c r="A321" s="135"/>
      <c r="I321" s="135"/>
      <c r="J321" s="135"/>
      <c r="K321" s="135"/>
    </row>
    <row r="322" ht="15.75" customHeight="1">
      <c r="A322" s="135"/>
      <c r="I322" s="135"/>
      <c r="J322" s="135"/>
      <c r="K322" s="135"/>
    </row>
    <row r="323" ht="15.75" customHeight="1">
      <c r="A323" s="135"/>
      <c r="I323" s="135"/>
      <c r="J323" s="135"/>
      <c r="K323" s="135"/>
    </row>
    <row r="324" ht="15.75" customHeight="1">
      <c r="A324" s="135"/>
      <c r="I324" s="135"/>
      <c r="J324" s="135"/>
      <c r="K324" s="135"/>
    </row>
    <row r="325" ht="15.75" customHeight="1">
      <c r="A325" s="135"/>
      <c r="I325" s="135"/>
      <c r="J325" s="135"/>
      <c r="K325" s="135"/>
    </row>
    <row r="326" ht="15.75" customHeight="1">
      <c r="A326" s="135"/>
      <c r="I326" s="135"/>
      <c r="J326" s="135"/>
      <c r="K326" s="135"/>
    </row>
    <row r="327" ht="15.75" customHeight="1">
      <c r="A327" s="135"/>
      <c r="I327" s="135"/>
      <c r="J327" s="135"/>
      <c r="K327" s="135"/>
    </row>
    <row r="328" ht="15.75" customHeight="1">
      <c r="A328" s="135"/>
      <c r="I328" s="135"/>
      <c r="J328" s="135"/>
      <c r="K328" s="135"/>
    </row>
    <row r="329" ht="15.75" customHeight="1">
      <c r="A329" s="135"/>
      <c r="I329" s="135"/>
      <c r="J329" s="135"/>
      <c r="K329" s="135"/>
    </row>
    <row r="330" ht="15.75" customHeight="1">
      <c r="A330" s="135"/>
      <c r="I330" s="135"/>
      <c r="J330" s="135"/>
      <c r="K330" s="135"/>
    </row>
    <row r="331" ht="15.75" customHeight="1">
      <c r="A331" s="135"/>
      <c r="I331" s="135"/>
      <c r="J331" s="135"/>
      <c r="K331" s="135"/>
    </row>
    <row r="332" ht="15.75" customHeight="1">
      <c r="A332" s="135"/>
      <c r="I332" s="135"/>
      <c r="J332" s="135"/>
      <c r="K332" s="135"/>
    </row>
    <row r="333" ht="15.75" customHeight="1">
      <c r="A333" s="135"/>
      <c r="I333" s="135"/>
      <c r="J333" s="135"/>
      <c r="K333" s="135"/>
    </row>
    <row r="334" ht="15.75" customHeight="1">
      <c r="A334" s="135"/>
      <c r="I334" s="135"/>
      <c r="J334" s="135"/>
      <c r="K334" s="135"/>
    </row>
    <row r="335" ht="15.75" customHeight="1">
      <c r="A335" s="135"/>
      <c r="I335" s="135"/>
      <c r="J335" s="135"/>
      <c r="K335" s="135"/>
    </row>
    <row r="336" ht="15.75" customHeight="1">
      <c r="A336" s="135"/>
      <c r="I336" s="135"/>
      <c r="J336" s="135"/>
      <c r="K336" s="135"/>
    </row>
    <row r="337" ht="15.75" customHeight="1">
      <c r="A337" s="135"/>
      <c r="I337" s="135"/>
      <c r="J337" s="135"/>
      <c r="K337" s="135"/>
    </row>
    <row r="338" ht="15.75" customHeight="1">
      <c r="A338" s="135"/>
      <c r="I338" s="135"/>
      <c r="J338" s="135"/>
      <c r="K338" s="135"/>
    </row>
    <row r="339" ht="15.75" customHeight="1">
      <c r="A339" s="135"/>
      <c r="I339" s="135"/>
      <c r="J339" s="135"/>
      <c r="K339" s="135"/>
    </row>
    <row r="340" ht="15.75" customHeight="1">
      <c r="A340" s="135"/>
      <c r="I340" s="135"/>
      <c r="J340" s="135"/>
      <c r="K340" s="135"/>
    </row>
    <row r="341" ht="15.75" customHeight="1">
      <c r="A341" s="135"/>
      <c r="I341" s="135"/>
      <c r="J341" s="135"/>
      <c r="K341" s="135"/>
    </row>
    <row r="342" ht="15.75" customHeight="1">
      <c r="A342" s="135"/>
      <c r="I342" s="135"/>
      <c r="J342" s="135"/>
      <c r="K342" s="135"/>
    </row>
    <row r="343" ht="15.75" customHeight="1">
      <c r="A343" s="135"/>
      <c r="I343" s="135"/>
      <c r="J343" s="135"/>
      <c r="K343" s="135"/>
    </row>
    <row r="344" ht="15.75" customHeight="1">
      <c r="A344" s="135"/>
      <c r="I344" s="135"/>
      <c r="J344" s="135"/>
      <c r="K344" s="135"/>
    </row>
    <row r="345" ht="15.75" customHeight="1">
      <c r="A345" s="135"/>
      <c r="I345" s="135"/>
      <c r="J345" s="135"/>
      <c r="K345" s="135"/>
    </row>
    <row r="346" ht="15.75" customHeight="1">
      <c r="A346" s="135"/>
      <c r="I346" s="135"/>
      <c r="J346" s="135"/>
      <c r="K346" s="135"/>
    </row>
    <row r="347" ht="15.75" customHeight="1">
      <c r="A347" s="135"/>
      <c r="I347" s="135"/>
      <c r="J347" s="135"/>
      <c r="K347" s="135"/>
    </row>
    <row r="348" ht="15.75" customHeight="1">
      <c r="A348" s="135"/>
      <c r="I348" s="135"/>
      <c r="J348" s="135"/>
      <c r="K348" s="135"/>
    </row>
    <row r="349" ht="15.75" customHeight="1">
      <c r="A349" s="135"/>
      <c r="I349" s="135"/>
      <c r="J349" s="135"/>
      <c r="K349" s="135"/>
    </row>
    <row r="350" ht="15.75" customHeight="1">
      <c r="A350" s="135"/>
      <c r="I350" s="135"/>
      <c r="J350" s="135"/>
      <c r="K350" s="135"/>
    </row>
    <row r="351" ht="15.75" customHeight="1">
      <c r="A351" s="135"/>
      <c r="I351" s="135"/>
      <c r="J351" s="135"/>
      <c r="K351" s="135"/>
    </row>
    <row r="352" ht="15.75" customHeight="1">
      <c r="A352" s="135"/>
      <c r="I352" s="135"/>
      <c r="J352" s="135"/>
      <c r="K352" s="135"/>
    </row>
    <row r="353" ht="15.75" customHeight="1">
      <c r="A353" s="135"/>
      <c r="I353" s="135"/>
      <c r="J353" s="135"/>
      <c r="K353" s="135"/>
    </row>
    <row r="354" ht="15.75" customHeight="1">
      <c r="A354" s="135"/>
      <c r="I354" s="135"/>
      <c r="J354" s="135"/>
      <c r="K354" s="135"/>
    </row>
    <row r="355" ht="15.75" customHeight="1">
      <c r="A355" s="135"/>
      <c r="I355" s="135"/>
      <c r="J355" s="135"/>
      <c r="K355" s="135"/>
    </row>
    <row r="356" ht="15.75" customHeight="1">
      <c r="A356" s="135"/>
      <c r="I356" s="135"/>
      <c r="J356" s="135"/>
      <c r="K356" s="135"/>
    </row>
    <row r="357" ht="15.75" customHeight="1">
      <c r="A357" s="135"/>
      <c r="I357" s="135"/>
      <c r="J357" s="135"/>
      <c r="K357" s="135"/>
    </row>
    <row r="358" ht="15.75" customHeight="1">
      <c r="A358" s="135"/>
      <c r="I358" s="135"/>
      <c r="J358" s="135"/>
      <c r="K358" s="135"/>
    </row>
    <row r="359" ht="15.75" customHeight="1">
      <c r="A359" s="135"/>
      <c r="I359" s="135"/>
      <c r="J359" s="135"/>
      <c r="K359" s="135"/>
    </row>
    <row r="360" ht="15.75" customHeight="1">
      <c r="A360" s="135"/>
      <c r="I360" s="135"/>
      <c r="J360" s="135"/>
      <c r="K360" s="135"/>
    </row>
    <row r="361" ht="15.75" customHeight="1">
      <c r="A361" s="135"/>
      <c r="I361" s="135"/>
      <c r="J361" s="135"/>
      <c r="K361" s="135"/>
    </row>
    <row r="362" ht="15.75" customHeight="1">
      <c r="A362" s="135"/>
      <c r="I362" s="135"/>
      <c r="J362" s="135"/>
      <c r="K362" s="135"/>
    </row>
    <row r="363" ht="15.75" customHeight="1">
      <c r="A363" s="135"/>
      <c r="I363" s="135"/>
      <c r="J363" s="135"/>
      <c r="K363" s="135"/>
    </row>
    <row r="364" ht="15.75" customHeight="1">
      <c r="A364" s="135"/>
      <c r="I364" s="135"/>
      <c r="J364" s="135"/>
      <c r="K364" s="135"/>
    </row>
    <row r="365" ht="15.75" customHeight="1">
      <c r="A365" s="135"/>
      <c r="I365" s="135"/>
      <c r="J365" s="135"/>
      <c r="K365" s="135"/>
    </row>
    <row r="366" ht="15.75" customHeight="1">
      <c r="A366" s="135"/>
      <c r="I366" s="135"/>
      <c r="J366" s="135"/>
      <c r="K366" s="135"/>
    </row>
    <row r="367" ht="15.75" customHeight="1">
      <c r="A367" s="135"/>
      <c r="I367" s="135"/>
      <c r="J367" s="135"/>
      <c r="K367" s="135"/>
    </row>
    <row r="368" ht="15.75" customHeight="1">
      <c r="A368" s="135"/>
      <c r="I368" s="135"/>
      <c r="J368" s="135"/>
      <c r="K368" s="135"/>
    </row>
    <row r="369" ht="15.75" customHeight="1">
      <c r="A369" s="135"/>
      <c r="I369" s="135"/>
      <c r="J369" s="135"/>
      <c r="K369" s="135"/>
    </row>
    <row r="370" ht="15.75" customHeight="1">
      <c r="A370" s="135"/>
      <c r="I370" s="135"/>
      <c r="J370" s="135"/>
      <c r="K370" s="135"/>
    </row>
    <row r="371" ht="15.75" customHeight="1">
      <c r="A371" s="135"/>
      <c r="I371" s="135"/>
      <c r="J371" s="135"/>
      <c r="K371" s="135"/>
    </row>
    <row r="372" ht="15.75" customHeight="1">
      <c r="A372" s="135"/>
      <c r="I372" s="135"/>
      <c r="J372" s="135"/>
      <c r="K372" s="135"/>
    </row>
    <row r="373" ht="15.75" customHeight="1">
      <c r="A373" s="135"/>
      <c r="I373" s="135"/>
      <c r="J373" s="135"/>
      <c r="K373" s="135"/>
    </row>
    <row r="374" ht="15.75" customHeight="1">
      <c r="A374" s="135"/>
      <c r="I374" s="135"/>
      <c r="J374" s="135"/>
      <c r="K374" s="135"/>
    </row>
    <row r="375" ht="15.75" customHeight="1">
      <c r="A375" s="135"/>
      <c r="I375" s="135"/>
      <c r="J375" s="135"/>
      <c r="K375" s="135"/>
    </row>
    <row r="376" ht="15.75" customHeight="1">
      <c r="A376" s="135"/>
      <c r="I376" s="135"/>
      <c r="J376" s="135"/>
      <c r="K376" s="135"/>
    </row>
    <row r="377" ht="15.75" customHeight="1">
      <c r="A377" s="135"/>
      <c r="I377" s="135"/>
      <c r="J377" s="135"/>
      <c r="K377" s="135"/>
    </row>
    <row r="378" ht="15.75" customHeight="1">
      <c r="A378" s="135"/>
      <c r="I378" s="135"/>
      <c r="J378" s="135"/>
      <c r="K378" s="135"/>
    </row>
    <row r="379" ht="15.75" customHeight="1">
      <c r="A379" s="135"/>
      <c r="I379" s="135"/>
      <c r="J379" s="135"/>
      <c r="K379" s="135"/>
    </row>
    <row r="380" ht="15.75" customHeight="1">
      <c r="A380" s="135"/>
      <c r="I380" s="135"/>
      <c r="J380" s="135"/>
      <c r="K380" s="135"/>
    </row>
    <row r="381" ht="15.75" customHeight="1">
      <c r="A381" s="135"/>
      <c r="I381" s="135"/>
      <c r="J381" s="135"/>
      <c r="K381" s="135"/>
    </row>
    <row r="382" ht="15.75" customHeight="1">
      <c r="A382" s="135"/>
      <c r="I382" s="135"/>
      <c r="J382" s="135"/>
      <c r="K382" s="135"/>
    </row>
    <row r="383" ht="15.75" customHeight="1">
      <c r="A383" s="135"/>
      <c r="I383" s="135"/>
      <c r="J383" s="135"/>
      <c r="K383" s="135"/>
    </row>
    <row r="384" ht="15.75" customHeight="1">
      <c r="A384" s="135"/>
      <c r="I384" s="135"/>
      <c r="J384" s="135"/>
      <c r="K384" s="135"/>
    </row>
    <row r="385" ht="15.75" customHeight="1">
      <c r="A385" s="135"/>
      <c r="I385" s="135"/>
      <c r="J385" s="135"/>
      <c r="K385" s="135"/>
    </row>
    <row r="386" ht="15.75" customHeight="1">
      <c r="A386" s="135"/>
      <c r="I386" s="135"/>
      <c r="J386" s="135"/>
      <c r="K386" s="135"/>
    </row>
    <row r="387" ht="15.75" customHeight="1">
      <c r="A387" s="135"/>
      <c r="I387" s="135"/>
      <c r="J387" s="135"/>
      <c r="K387" s="135"/>
    </row>
    <row r="388" ht="15.75" customHeight="1">
      <c r="A388" s="135"/>
      <c r="I388" s="135"/>
      <c r="J388" s="135"/>
      <c r="K388" s="135"/>
    </row>
    <row r="389" ht="15.75" customHeight="1">
      <c r="A389" s="135"/>
      <c r="I389" s="135"/>
      <c r="J389" s="135"/>
      <c r="K389" s="135"/>
    </row>
    <row r="390" ht="15.75" customHeight="1">
      <c r="A390" s="135"/>
      <c r="I390" s="135"/>
      <c r="J390" s="135"/>
      <c r="K390" s="135"/>
    </row>
    <row r="391" ht="15.75" customHeight="1">
      <c r="A391" s="135"/>
      <c r="I391" s="135"/>
      <c r="J391" s="135"/>
      <c r="K391" s="135"/>
    </row>
    <row r="392" ht="15.75" customHeight="1">
      <c r="A392" s="135"/>
      <c r="I392" s="135"/>
      <c r="J392" s="135"/>
      <c r="K392" s="135"/>
    </row>
    <row r="393" ht="15.75" customHeight="1">
      <c r="A393" s="135"/>
      <c r="I393" s="135"/>
      <c r="J393" s="135"/>
      <c r="K393" s="135"/>
    </row>
    <row r="394" ht="15.75" customHeight="1">
      <c r="A394" s="135"/>
      <c r="I394" s="135"/>
      <c r="J394" s="135"/>
      <c r="K394" s="135"/>
    </row>
    <row r="395" ht="15.75" customHeight="1">
      <c r="A395" s="135"/>
      <c r="I395" s="135"/>
      <c r="J395" s="135"/>
      <c r="K395" s="135"/>
    </row>
    <row r="396" ht="15.75" customHeight="1">
      <c r="A396" s="135"/>
      <c r="I396" s="135"/>
      <c r="J396" s="135"/>
      <c r="K396" s="135"/>
    </row>
    <row r="397" ht="15.75" customHeight="1">
      <c r="A397" s="135"/>
      <c r="I397" s="135"/>
      <c r="J397" s="135"/>
      <c r="K397" s="135"/>
    </row>
    <row r="398" ht="15.75" customHeight="1">
      <c r="A398" s="135"/>
      <c r="I398" s="135"/>
      <c r="J398" s="135"/>
      <c r="K398" s="135"/>
    </row>
    <row r="399" ht="15.75" customHeight="1">
      <c r="A399" s="135"/>
      <c r="I399" s="135"/>
      <c r="J399" s="135"/>
      <c r="K399" s="135"/>
    </row>
    <row r="400" ht="15.75" customHeight="1">
      <c r="A400" s="135"/>
      <c r="I400" s="135"/>
      <c r="J400" s="135"/>
      <c r="K400" s="135"/>
    </row>
    <row r="401" ht="15.75" customHeight="1">
      <c r="A401" s="135"/>
      <c r="I401" s="135"/>
      <c r="J401" s="135"/>
      <c r="K401" s="135"/>
    </row>
    <row r="402" ht="15.75" customHeight="1">
      <c r="A402" s="135"/>
      <c r="I402" s="135"/>
      <c r="J402" s="135"/>
      <c r="K402" s="135"/>
    </row>
    <row r="403" ht="15.75" customHeight="1">
      <c r="A403" s="135"/>
      <c r="I403" s="135"/>
      <c r="J403" s="135"/>
      <c r="K403" s="135"/>
    </row>
    <row r="404" ht="15.75" customHeight="1">
      <c r="A404" s="135"/>
      <c r="I404" s="135"/>
      <c r="J404" s="135"/>
      <c r="K404" s="135"/>
    </row>
    <row r="405" ht="15.75" customHeight="1">
      <c r="A405" s="135"/>
      <c r="I405" s="135"/>
      <c r="J405" s="135"/>
      <c r="K405" s="135"/>
    </row>
    <row r="406" ht="15.75" customHeight="1">
      <c r="A406" s="135"/>
      <c r="I406" s="135"/>
      <c r="J406" s="135"/>
      <c r="K406" s="135"/>
    </row>
    <row r="407" ht="15.75" customHeight="1">
      <c r="A407" s="135"/>
      <c r="I407" s="135"/>
      <c r="J407" s="135"/>
      <c r="K407" s="135"/>
    </row>
    <row r="408" ht="15.75" customHeight="1">
      <c r="A408" s="135"/>
      <c r="I408" s="135"/>
      <c r="J408" s="135"/>
      <c r="K408" s="135"/>
    </row>
    <row r="409" ht="15.75" customHeight="1">
      <c r="A409" s="135"/>
      <c r="I409" s="135"/>
      <c r="J409" s="135"/>
      <c r="K409" s="135"/>
    </row>
    <row r="410" ht="15.75" customHeight="1">
      <c r="A410" s="135"/>
      <c r="I410" s="135"/>
      <c r="J410" s="135"/>
      <c r="K410" s="135"/>
    </row>
    <row r="411" ht="15.75" customHeight="1">
      <c r="A411" s="135"/>
      <c r="I411" s="135"/>
      <c r="J411" s="135"/>
      <c r="K411" s="135"/>
    </row>
    <row r="412" ht="15.75" customHeight="1">
      <c r="A412" s="135"/>
      <c r="I412" s="135"/>
      <c r="J412" s="135"/>
      <c r="K412" s="135"/>
    </row>
    <row r="413" ht="15.75" customHeight="1">
      <c r="A413" s="135"/>
      <c r="I413" s="135"/>
      <c r="J413" s="135"/>
      <c r="K413" s="135"/>
    </row>
    <row r="414" ht="15.75" customHeight="1">
      <c r="A414" s="135"/>
      <c r="I414" s="135"/>
      <c r="J414" s="135"/>
      <c r="K414" s="135"/>
    </row>
    <row r="415" ht="15.75" customHeight="1">
      <c r="A415" s="135"/>
      <c r="I415" s="135"/>
      <c r="J415" s="135"/>
      <c r="K415" s="135"/>
    </row>
    <row r="416" ht="15.75" customHeight="1">
      <c r="A416" s="135"/>
      <c r="I416" s="135"/>
      <c r="J416" s="135"/>
      <c r="K416" s="135"/>
    </row>
    <row r="417" ht="15.75" customHeight="1">
      <c r="A417" s="135"/>
      <c r="I417" s="135"/>
      <c r="J417" s="135"/>
      <c r="K417" s="135"/>
    </row>
    <row r="418" ht="15.75" customHeight="1">
      <c r="A418" s="135"/>
      <c r="I418" s="135"/>
      <c r="J418" s="135"/>
      <c r="K418" s="135"/>
    </row>
    <row r="419" ht="15.75" customHeight="1">
      <c r="A419" s="135"/>
      <c r="I419" s="135"/>
      <c r="J419" s="135"/>
      <c r="K419" s="135"/>
    </row>
    <row r="420" ht="15.75" customHeight="1">
      <c r="A420" s="135"/>
      <c r="I420" s="135"/>
      <c r="J420" s="135"/>
      <c r="K420" s="135"/>
    </row>
    <row r="421" ht="15.75" customHeight="1">
      <c r="A421" s="135"/>
      <c r="I421" s="135"/>
      <c r="J421" s="135"/>
      <c r="K421" s="135"/>
    </row>
    <row r="422" ht="15.75" customHeight="1">
      <c r="A422" s="135"/>
      <c r="I422" s="135"/>
      <c r="J422" s="135"/>
      <c r="K422" s="135"/>
    </row>
    <row r="423" ht="15.75" customHeight="1">
      <c r="A423" s="135"/>
      <c r="I423" s="135"/>
      <c r="J423" s="135"/>
      <c r="K423" s="135"/>
    </row>
    <row r="424" ht="15.75" customHeight="1">
      <c r="A424" s="135"/>
      <c r="I424" s="135"/>
      <c r="J424" s="135"/>
      <c r="K424" s="135"/>
    </row>
    <row r="425" ht="15.75" customHeight="1">
      <c r="A425" s="135"/>
      <c r="I425" s="135"/>
      <c r="J425" s="135"/>
      <c r="K425" s="135"/>
    </row>
    <row r="426" ht="15.75" customHeight="1">
      <c r="A426" s="135"/>
      <c r="I426" s="135"/>
      <c r="J426" s="135"/>
      <c r="K426" s="135"/>
    </row>
    <row r="427" ht="15.75" customHeight="1">
      <c r="A427" s="135"/>
      <c r="I427" s="135"/>
      <c r="J427" s="135"/>
      <c r="K427" s="135"/>
    </row>
    <row r="428" ht="15.75" customHeight="1">
      <c r="A428" s="135"/>
      <c r="I428" s="135"/>
      <c r="J428" s="135"/>
      <c r="K428" s="135"/>
    </row>
    <row r="429" ht="15.75" customHeight="1">
      <c r="A429" s="135"/>
      <c r="I429" s="135"/>
      <c r="J429" s="135"/>
      <c r="K429" s="135"/>
    </row>
    <row r="430" ht="15.75" customHeight="1">
      <c r="A430" s="135"/>
      <c r="I430" s="135"/>
      <c r="J430" s="135"/>
      <c r="K430" s="135"/>
    </row>
    <row r="431" ht="15.75" customHeight="1">
      <c r="A431" s="135"/>
      <c r="I431" s="135"/>
      <c r="J431" s="135"/>
      <c r="K431" s="135"/>
    </row>
    <row r="432" ht="15.75" customHeight="1">
      <c r="A432" s="135"/>
      <c r="I432" s="135"/>
      <c r="J432" s="135"/>
      <c r="K432" s="135"/>
    </row>
    <row r="433" ht="15.75" customHeight="1">
      <c r="A433" s="135"/>
      <c r="I433" s="135"/>
      <c r="J433" s="135"/>
      <c r="K433" s="135"/>
    </row>
    <row r="434" ht="15.75" customHeight="1">
      <c r="A434" s="135"/>
      <c r="I434" s="135"/>
      <c r="J434" s="135"/>
      <c r="K434" s="135"/>
    </row>
    <row r="435" ht="15.75" customHeight="1">
      <c r="A435" s="135"/>
      <c r="I435" s="135"/>
      <c r="J435" s="135"/>
      <c r="K435" s="135"/>
    </row>
    <row r="436" ht="15.75" customHeight="1">
      <c r="A436" s="135"/>
      <c r="I436" s="135"/>
      <c r="J436" s="135"/>
      <c r="K436" s="135"/>
    </row>
    <row r="437" ht="15.75" customHeight="1">
      <c r="A437" s="135"/>
      <c r="I437" s="135"/>
      <c r="J437" s="135"/>
      <c r="K437" s="135"/>
    </row>
    <row r="438" ht="15.75" customHeight="1">
      <c r="A438" s="135"/>
      <c r="I438" s="135"/>
      <c r="J438" s="135"/>
      <c r="K438" s="135"/>
    </row>
    <row r="439" ht="15.75" customHeight="1">
      <c r="A439" s="135"/>
      <c r="I439" s="135"/>
      <c r="J439" s="135"/>
      <c r="K439" s="135"/>
    </row>
    <row r="440" ht="15.75" customHeight="1">
      <c r="A440" s="135"/>
      <c r="I440" s="135"/>
      <c r="J440" s="135"/>
      <c r="K440" s="135"/>
    </row>
    <row r="441" ht="15.75" customHeight="1">
      <c r="A441" s="135"/>
      <c r="I441" s="135"/>
      <c r="J441" s="135"/>
      <c r="K441" s="135"/>
    </row>
    <row r="442" ht="15.75" customHeight="1">
      <c r="A442" s="135"/>
      <c r="I442" s="135"/>
      <c r="J442" s="135"/>
      <c r="K442" s="135"/>
    </row>
    <row r="443" ht="15.75" customHeight="1">
      <c r="A443" s="135"/>
      <c r="I443" s="135"/>
      <c r="J443" s="135"/>
      <c r="K443" s="135"/>
    </row>
    <row r="444" ht="15.75" customHeight="1">
      <c r="A444" s="135"/>
      <c r="I444" s="135"/>
      <c r="J444" s="135"/>
      <c r="K444" s="135"/>
    </row>
    <row r="445" ht="15.75" customHeight="1">
      <c r="A445" s="135"/>
      <c r="I445" s="135"/>
      <c r="J445" s="135"/>
      <c r="K445" s="135"/>
    </row>
    <row r="446" ht="15.75" customHeight="1">
      <c r="A446" s="135"/>
      <c r="I446" s="135"/>
      <c r="J446" s="135"/>
      <c r="K446" s="135"/>
    </row>
    <row r="447" ht="15.75" customHeight="1">
      <c r="A447" s="135"/>
      <c r="I447" s="135"/>
      <c r="J447" s="135"/>
      <c r="K447" s="135"/>
    </row>
    <row r="448" ht="15.75" customHeight="1">
      <c r="A448" s="135"/>
      <c r="I448" s="135"/>
      <c r="J448" s="135"/>
      <c r="K448" s="135"/>
    </row>
    <row r="449" ht="15.75" customHeight="1">
      <c r="A449" s="135"/>
      <c r="I449" s="135"/>
      <c r="J449" s="135"/>
      <c r="K449" s="135"/>
    </row>
    <row r="450" ht="15.75" customHeight="1">
      <c r="A450" s="135"/>
      <c r="I450" s="135"/>
      <c r="J450" s="135"/>
      <c r="K450" s="135"/>
    </row>
    <row r="451" ht="15.75" customHeight="1">
      <c r="A451" s="135"/>
      <c r="I451" s="135"/>
      <c r="J451" s="135"/>
      <c r="K451" s="135"/>
    </row>
    <row r="452" ht="15.75" customHeight="1">
      <c r="A452" s="135"/>
      <c r="I452" s="135"/>
      <c r="J452" s="135"/>
      <c r="K452" s="135"/>
    </row>
    <row r="453" ht="15.75" customHeight="1">
      <c r="A453" s="135"/>
      <c r="I453" s="135"/>
      <c r="J453" s="135"/>
      <c r="K453" s="135"/>
    </row>
    <row r="454" ht="15.75" customHeight="1">
      <c r="A454" s="135"/>
      <c r="I454" s="135"/>
      <c r="J454" s="135"/>
      <c r="K454" s="135"/>
    </row>
    <row r="455" ht="15.75" customHeight="1">
      <c r="A455" s="135"/>
      <c r="I455" s="135"/>
      <c r="J455" s="135"/>
      <c r="K455" s="135"/>
    </row>
    <row r="456" ht="15.75" customHeight="1">
      <c r="A456" s="135"/>
      <c r="I456" s="135"/>
      <c r="J456" s="135"/>
      <c r="K456" s="135"/>
    </row>
    <row r="457" ht="15.75" customHeight="1">
      <c r="A457" s="135"/>
      <c r="I457" s="135"/>
      <c r="J457" s="135"/>
      <c r="K457" s="135"/>
    </row>
    <row r="458" ht="15.75" customHeight="1">
      <c r="A458" s="135"/>
      <c r="I458" s="135"/>
      <c r="J458" s="135"/>
      <c r="K458" s="135"/>
    </row>
    <row r="459" ht="15.75" customHeight="1">
      <c r="A459" s="135"/>
      <c r="I459" s="135"/>
      <c r="J459" s="135"/>
      <c r="K459" s="135"/>
    </row>
    <row r="460" ht="15.75" customHeight="1">
      <c r="A460" s="135"/>
      <c r="I460" s="135"/>
      <c r="J460" s="135"/>
      <c r="K460" s="135"/>
    </row>
    <row r="461" ht="15.75" customHeight="1">
      <c r="A461" s="135"/>
      <c r="I461" s="135"/>
      <c r="J461" s="135"/>
      <c r="K461" s="135"/>
    </row>
    <row r="462" ht="15.75" customHeight="1">
      <c r="A462" s="135"/>
      <c r="I462" s="135"/>
      <c r="J462" s="135"/>
      <c r="K462" s="135"/>
    </row>
    <row r="463" ht="15.75" customHeight="1">
      <c r="A463" s="135"/>
      <c r="I463" s="135"/>
      <c r="J463" s="135"/>
      <c r="K463" s="135"/>
    </row>
    <row r="464" ht="15.75" customHeight="1">
      <c r="A464" s="135"/>
      <c r="I464" s="135"/>
      <c r="J464" s="135"/>
      <c r="K464" s="135"/>
    </row>
    <row r="465" ht="15.75" customHeight="1">
      <c r="A465" s="135"/>
      <c r="I465" s="135"/>
      <c r="J465" s="135"/>
      <c r="K465" s="135"/>
    </row>
    <row r="466" ht="15.75" customHeight="1">
      <c r="A466" s="135"/>
      <c r="I466" s="135"/>
      <c r="J466" s="135"/>
      <c r="K466" s="135"/>
    </row>
    <row r="467" ht="15.75" customHeight="1">
      <c r="A467" s="135"/>
      <c r="I467" s="135"/>
      <c r="J467" s="135"/>
      <c r="K467" s="135"/>
    </row>
    <row r="468" ht="15.75" customHeight="1">
      <c r="A468" s="135"/>
      <c r="I468" s="135"/>
      <c r="J468" s="135"/>
      <c r="K468" s="135"/>
    </row>
    <row r="469" ht="15.75" customHeight="1">
      <c r="A469" s="135"/>
      <c r="I469" s="135"/>
      <c r="J469" s="135"/>
      <c r="K469" s="135"/>
    </row>
    <row r="470" ht="15.75" customHeight="1">
      <c r="A470" s="135"/>
      <c r="I470" s="135"/>
      <c r="J470" s="135"/>
      <c r="K470" s="135"/>
    </row>
    <row r="471" ht="15.75" customHeight="1">
      <c r="A471" s="135"/>
      <c r="I471" s="135"/>
      <c r="J471" s="135"/>
      <c r="K471" s="135"/>
    </row>
    <row r="472" ht="15.75" customHeight="1">
      <c r="A472" s="135"/>
      <c r="I472" s="135"/>
      <c r="J472" s="135"/>
      <c r="K472" s="135"/>
    </row>
    <row r="473" ht="15.75" customHeight="1">
      <c r="A473" s="135"/>
      <c r="I473" s="135"/>
      <c r="J473" s="135"/>
      <c r="K473" s="135"/>
    </row>
    <row r="474" ht="15.75" customHeight="1">
      <c r="A474" s="135"/>
      <c r="I474" s="135"/>
      <c r="J474" s="135"/>
      <c r="K474" s="135"/>
    </row>
    <row r="475" ht="15.75" customHeight="1">
      <c r="A475" s="135"/>
      <c r="I475" s="135"/>
      <c r="J475" s="135"/>
      <c r="K475" s="135"/>
    </row>
    <row r="476" ht="15.75" customHeight="1">
      <c r="A476" s="135"/>
      <c r="I476" s="135"/>
      <c r="J476" s="135"/>
      <c r="K476" s="135"/>
    </row>
    <row r="477" ht="15.75" customHeight="1">
      <c r="A477" s="135"/>
      <c r="I477" s="135"/>
      <c r="J477" s="135"/>
      <c r="K477" s="135"/>
    </row>
    <row r="478" ht="15.75" customHeight="1">
      <c r="A478" s="135"/>
      <c r="I478" s="135"/>
      <c r="J478" s="135"/>
      <c r="K478" s="135"/>
    </row>
    <row r="479" ht="15.75" customHeight="1">
      <c r="A479" s="135"/>
      <c r="I479" s="135"/>
      <c r="J479" s="135"/>
      <c r="K479" s="135"/>
    </row>
    <row r="480" ht="15.75" customHeight="1">
      <c r="A480" s="135"/>
      <c r="I480" s="135"/>
      <c r="J480" s="135"/>
      <c r="K480" s="135"/>
    </row>
    <row r="481" ht="15.75" customHeight="1">
      <c r="A481" s="135"/>
      <c r="I481" s="135"/>
      <c r="J481" s="135"/>
      <c r="K481" s="135"/>
    </row>
    <row r="482" ht="15.75" customHeight="1">
      <c r="A482" s="135"/>
      <c r="I482" s="135"/>
      <c r="J482" s="135"/>
      <c r="K482" s="135"/>
    </row>
    <row r="483" ht="15.75" customHeight="1">
      <c r="A483" s="135"/>
      <c r="I483" s="135"/>
      <c r="J483" s="135"/>
      <c r="K483" s="135"/>
    </row>
    <row r="484" ht="15.75" customHeight="1">
      <c r="A484" s="135"/>
      <c r="I484" s="135"/>
      <c r="J484" s="135"/>
      <c r="K484" s="135"/>
    </row>
    <row r="485" ht="15.75" customHeight="1">
      <c r="A485" s="135"/>
      <c r="I485" s="135"/>
      <c r="J485" s="135"/>
      <c r="K485" s="135"/>
    </row>
    <row r="486" ht="15.75" customHeight="1">
      <c r="A486" s="135"/>
      <c r="I486" s="135"/>
      <c r="J486" s="135"/>
      <c r="K486" s="135"/>
    </row>
    <row r="487" ht="15.75" customHeight="1">
      <c r="A487" s="135"/>
      <c r="I487" s="135"/>
      <c r="J487" s="135"/>
      <c r="K487" s="135"/>
    </row>
    <row r="488" ht="15.75" customHeight="1">
      <c r="A488" s="135"/>
      <c r="I488" s="135"/>
      <c r="J488" s="135"/>
      <c r="K488" s="135"/>
    </row>
    <row r="489" ht="15.75" customHeight="1">
      <c r="A489" s="135"/>
      <c r="I489" s="135"/>
      <c r="J489" s="135"/>
      <c r="K489" s="135"/>
    </row>
    <row r="490" ht="15.75" customHeight="1">
      <c r="A490" s="135"/>
      <c r="I490" s="135"/>
      <c r="J490" s="135"/>
      <c r="K490" s="135"/>
    </row>
    <row r="491" ht="15.75" customHeight="1">
      <c r="A491" s="135"/>
      <c r="I491" s="135"/>
      <c r="J491" s="135"/>
      <c r="K491" s="135"/>
    </row>
    <row r="492" ht="15.75" customHeight="1">
      <c r="A492" s="135"/>
      <c r="I492" s="135"/>
      <c r="J492" s="135"/>
      <c r="K492" s="135"/>
    </row>
    <row r="493" ht="15.75" customHeight="1">
      <c r="A493" s="135"/>
      <c r="I493" s="135"/>
      <c r="J493" s="135"/>
      <c r="K493" s="135"/>
    </row>
    <row r="494" ht="15.75" customHeight="1">
      <c r="A494" s="135"/>
      <c r="I494" s="135"/>
      <c r="J494" s="135"/>
      <c r="K494" s="135"/>
    </row>
    <row r="495" ht="15.75" customHeight="1">
      <c r="A495" s="135"/>
      <c r="I495" s="135"/>
      <c r="J495" s="135"/>
      <c r="K495" s="135"/>
    </row>
    <row r="496" ht="15.75" customHeight="1">
      <c r="A496" s="135"/>
      <c r="I496" s="135"/>
      <c r="J496" s="135"/>
      <c r="K496" s="135"/>
    </row>
    <row r="497" ht="15.75" customHeight="1">
      <c r="A497" s="135"/>
      <c r="I497" s="135"/>
      <c r="J497" s="135"/>
      <c r="K497" s="135"/>
    </row>
    <row r="498" ht="15.75" customHeight="1">
      <c r="A498" s="135"/>
      <c r="I498" s="135"/>
      <c r="J498" s="135"/>
      <c r="K498" s="135"/>
    </row>
    <row r="499" ht="15.75" customHeight="1">
      <c r="A499" s="135"/>
      <c r="I499" s="135"/>
      <c r="J499" s="135"/>
      <c r="K499" s="135"/>
    </row>
    <row r="500" ht="15.75" customHeight="1">
      <c r="A500" s="135"/>
      <c r="I500" s="135"/>
      <c r="J500" s="135"/>
      <c r="K500" s="135"/>
    </row>
    <row r="501" ht="15.75" customHeight="1">
      <c r="A501" s="135"/>
      <c r="I501" s="135"/>
      <c r="J501" s="135"/>
      <c r="K501" s="135"/>
    </row>
    <row r="502" ht="15.75" customHeight="1">
      <c r="A502" s="135"/>
      <c r="I502" s="135"/>
      <c r="J502" s="135"/>
      <c r="K502" s="135"/>
    </row>
    <row r="503" ht="15.75" customHeight="1">
      <c r="A503" s="135"/>
      <c r="I503" s="135"/>
      <c r="J503" s="135"/>
      <c r="K503" s="135"/>
    </row>
    <row r="504" ht="15.75" customHeight="1">
      <c r="A504" s="135"/>
      <c r="I504" s="135"/>
      <c r="J504" s="135"/>
      <c r="K504" s="135"/>
    </row>
    <row r="505" ht="15.75" customHeight="1">
      <c r="A505" s="135"/>
      <c r="I505" s="135"/>
      <c r="J505" s="135"/>
      <c r="K505" s="135"/>
    </row>
    <row r="506" ht="15.75" customHeight="1">
      <c r="A506" s="135"/>
      <c r="I506" s="135"/>
      <c r="J506" s="135"/>
      <c r="K506" s="135"/>
    </row>
    <row r="507" ht="15.75" customHeight="1">
      <c r="A507" s="135"/>
      <c r="I507" s="135"/>
      <c r="J507" s="135"/>
      <c r="K507" s="135"/>
    </row>
    <row r="508" ht="15.75" customHeight="1">
      <c r="A508" s="135"/>
      <c r="I508" s="135"/>
      <c r="J508" s="135"/>
      <c r="K508" s="135"/>
    </row>
    <row r="509" ht="15.75" customHeight="1">
      <c r="A509" s="135"/>
      <c r="I509" s="135"/>
      <c r="J509" s="135"/>
      <c r="K509" s="135"/>
    </row>
    <row r="510" ht="15.75" customHeight="1">
      <c r="A510" s="135"/>
      <c r="I510" s="135"/>
      <c r="J510" s="135"/>
      <c r="K510" s="135"/>
    </row>
    <row r="511" ht="15.75" customHeight="1">
      <c r="A511" s="135"/>
      <c r="I511" s="135"/>
      <c r="J511" s="135"/>
      <c r="K511" s="135"/>
    </row>
    <row r="512" ht="15.75" customHeight="1">
      <c r="A512" s="135"/>
      <c r="I512" s="135"/>
      <c r="J512" s="135"/>
      <c r="K512" s="135"/>
    </row>
    <row r="513" ht="15.75" customHeight="1">
      <c r="A513" s="135"/>
      <c r="I513" s="135"/>
      <c r="J513" s="135"/>
      <c r="K513" s="135"/>
    </row>
    <row r="514" ht="15.75" customHeight="1">
      <c r="A514" s="135"/>
      <c r="I514" s="135"/>
      <c r="J514" s="135"/>
      <c r="K514" s="135"/>
    </row>
    <row r="515" ht="15.75" customHeight="1">
      <c r="A515" s="135"/>
      <c r="I515" s="135"/>
      <c r="J515" s="135"/>
      <c r="K515" s="135"/>
    </row>
    <row r="516" ht="15.75" customHeight="1">
      <c r="A516" s="135"/>
      <c r="I516" s="135"/>
      <c r="J516" s="135"/>
      <c r="K516" s="135"/>
    </row>
    <row r="517" ht="15.75" customHeight="1">
      <c r="A517" s="135"/>
      <c r="I517" s="135"/>
      <c r="J517" s="135"/>
      <c r="K517" s="135"/>
    </row>
    <row r="518" ht="15.75" customHeight="1">
      <c r="A518" s="135"/>
      <c r="I518" s="135"/>
      <c r="J518" s="135"/>
      <c r="K518" s="135"/>
    </row>
    <row r="519" ht="15.75" customHeight="1">
      <c r="A519" s="135"/>
      <c r="I519" s="135"/>
      <c r="J519" s="135"/>
      <c r="K519" s="135"/>
    </row>
    <row r="520" ht="15.75" customHeight="1">
      <c r="A520" s="135"/>
      <c r="I520" s="135"/>
      <c r="J520" s="135"/>
      <c r="K520" s="135"/>
    </row>
    <row r="521" ht="15.75" customHeight="1">
      <c r="A521" s="135"/>
      <c r="I521" s="135"/>
      <c r="J521" s="135"/>
      <c r="K521" s="135"/>
    </row>
    <row r="522" ht="15.75" customHeight="1">
      <c r="A522" s="135"/>
      <c r="I522" s="135"/>
      <c r="J522" s="135"/>
      <c r="K522" s="135"/>
    </row>
    <row r="523" ht="15.75" customHeight="1">
      <c r="A523" s="135"/>
      <c r="I523" s="135"/>
      <c r="J523" s="135"/>
      <c r="K523" s="135"/>
    </row>
    <row r="524" ht="15.75" customHeight="1">
      <c r="A524" s="135"/>
      <c r="I524" s="135"/>
      <c r="J524" s="135"/>
      <c r="K524" s="135"/>
    </row>
    <row r="525" ht="15.75" customHeight="1">
      <c r="A525" s="135"/>
      <c r="I525" s="135"/>
      <c r="J525" s="135"/>
      <c r="K525" s="135"/>
    </row>
    <row r="526" ht="15.75" customHeight="1">
      <c r="A526" s="135"/>
      <c r="I526" s="135"/>
      <c r="J526" s="135"/>
      <c r="K526" s="135"/>
    </row>
    <row r="527" ht="15.75" customHeight="1">
      <c r="A527" s="135"/>
      <c r="I527" s="135"/>
      <c r="J527" s="135"/>
      <c r="K527" s="135"/>
    </row>
    <row r="528" ht="15.75" customHeight="1">
      <c r="A528" s="135"/>
      <c r="I528" s="135"/>
      <c r="J528" s="135"/>
      <c r="K528" s="135"/>
    </row>
    <row r="529" ht="15.75" customHeight="1">
      <c r="A529" s="135"/>
      <c r="I529" s="135"/>
      <c r="J529" s="135"/>
      <c r="K529" s="135"/>
    </row>
    <row r="530" ht="15.75" customHeight="1">
      <c r="A530" s="135"/>
      <c r="I530" s="135"/>
      <c r="J530" s="135"/>
      <c r="K530" s="135"/>
    </row>
    <row r="531" ht="15.75" customHeight="1">
      <c r="A531" s="135"/>
      <c r="I531" s="135"/>
      <c r="J531" s="135"/>
      <c r="K531" s="135"/>
    </row>
    <row r="532" ht="15.75" customHeight="1">
      <c r="A532" s="135"/>
      <c r="I532" s="135"/>
      <c r="J532" s="135"/>
      <c r="K532" s="135"/>
    </row>
    <row r="533" ht="15.75" customHeight="1">
      <c r="A533" s="135"/>
      <c r="I533" s="135"/>
      <c r="J533" s="135"/>
      <c r="K533" s="135"/>
    </row>
    <row r="534" ht="15.75" customHeight="1">
      <c r="A534" s="135"/>
      <c r="I534" s="135"/>
      <c r="J534" s="135"/>
      <c r="K534" s="135"/>
    </row>
    <row r="535" ht="15.75" customHeight="1">
      <c r="A535" s="135"/>
      <c r="I535" s="135"/>
      <c r="J535" s="135"/>
      <c r="K535" s="135"/>
    </row>
    <row r="536" ht="15.75" customHeight="1">
      <c r="A536" s="135"/>
      <c r="I536" s="135"/>
      <c r="J536" s="135"/>
      <c r="K536" s="135"/>
    </row>
    <row r="537" ht="15.75" customHeight="1">
      <c r="A537" s="135"/>
      <c r="I537" s="135"/>
      <c r="J537" s="135"/>
      <c r="K537" s="135"/>
    </row>
    <row r="538" ht="15.75" customHeight="1">
      <c r="A538" s="135"/>
      <c r="I538" s="135"/>
      <c r="J538" s="135"/>
      <c r="K538" s="135"/>
    </row>
    <row r="539" ht="15.75" customHeight="1">
      <c r="A539" s="135"/>
      <c r="I539" s="135"/>
      <c r="J539" s="135"/>
      <c r="K539" s="135"/>
    </row>
    <row r="540" ht="15.75" customHeight="1">
      <c r="A540" s="135"/>
      <c r="I540" s="135"/>
      <c r="J540" s="135"/>
      <c r="K540" s="135"/>
    </row>
    <row r="541" ht="15.75" customHeight="1">
      <c r="A541" s="135"/>
      <c r="I541" s="135"/>
      <c r="J541" s="135"/>
      <c r="K541" s="135"/>
    </row>
    <row r="542" ht="15.75" customHeight="1">
      <c r="A542" s="135"/>
      <c r="I542" s="135"/>
      <c r="J542" s="135"/>
      <c r="K542" s="135"/>
    </row>
    <row r="543" ht="15.75" customHeight="1">
      <c r="A543" s="135"/>
      <c r="I543" s="135"/>
      <c r="J543" s="135"/>
      <c r="K543" s="135"/>
    </row>
    <row r="544" ht="15.75" customHeight="1">
      <c r="A544" s="135"/>
      <c r="I544" s="135"/>
      <c r="J544" s="135"/>
      <c r="K544" s="135"/>
    </row>
    <row r="545" ht="15.75" customHeight="1">
      <c r="A545" s="135"/>
      <c r="I545" s="135"/>
      <c r="J545" s="135"/>
      <c r="K545" s="135"/>
    </row>
    <row r="546" ht="15.75" customHeight="1">
      <c r="A546" s="135"/>
      <c r="I546" s="135"/>
      <c r="J546" s="135"/>
      <c r="K546" s="135"/>
    </row>
    <row r="547" ht="15.75" customHeight="1">
      <c r="A547" s="135"/>
      <c r="I547" s="135"/>
      <c r="J547" s="135"/>
      <c r="K547" s="135"/>
    </row>
    <row r="548" ht="15.75" customHeight="1">
      <c r="A548" s="135"/>
      <c r="I548" s="135"/>
      <c r="J548" s="135"/>
      <c r="K548" s="135"/>
    </row>
    <row r="549" ht="15.75" customHeight="1">
      <c r="A549" s="135"/>
      <c r="I549" s="135"/>
      <c r="J549" s="135"/>
      <c r="K549" s="135"/>
    </row>
    <row r="550" ht="15.75" customHeight="1">
      <c r="A550" s="135"/>
      <c r="I550" s="135"/>
      <c r="J550" s="135"/>
      <c r="K550" s="135"/>
    </row>
    <row r="551" ht="15.75" customHeight="1">
      <c r="A551" s="135"/>
      <c r="I551" s="135"/>
      <c r="J551" s="135"/>
      <c r="K551" s="135"/>
    </row>
    <row r="552" ht="15.75" customHeight="1">
      <c r="A552" s="135"/>
      <c r="I552" s="135"/>
      <c r="J552" s="135"/>
      <c r="K552" s="135"/>
    </row>
    <row r="553" ht="15.75" customHeight="1">
      <c r="A553" s="135"/>
      <c r="I553" s="135"/>
      <c r="J553" s="135"/>
      <c r="K553" s="135"/>
    </row>
    <row r="554" ht="15.75" customHeight="1">
      <c r="A554" s="135"/>
      <c r="I554" s="135"/>
      <c r="J554" s="135"/>
      <c r="K554" s="135"/>
    </row>
    <row r="555" ht="15.75" customHeight="1">
      <c r="A555" s="135"/>
      <c r="I555" s="135"/>
      <c r="J555" s="135"/>
      <c r="K555" s="135"/>
    </row>
    <row r="556" ht="15.75" customHeight="1">
      <c r="A556" s="135"/>
      <c r="I556" s="135"/>
      <c r="J556" s="135"/>
      <c r="K556" s="135"/>
    </row>
    <row r="557" ht="15.75" customHeight="1">
      <c r="A557" s="135"/>
      <c r="I557" s="135"/>
      <c r="J557" s="135"/>
      <c r="K557" s="135"/>
    </row>
    <row r="558" ht="15.75" customHeight="1">
      <c r="A558" s="135"/>
      <c r="I558" s="135"/>
      <c r="J558" s="135"/>
      <c r="K558" s="135"/>
    </row>
    <row r="559" ht="15.75" customHeight="1">
      <c r="A559" s="135"/>
      <c r="I559" s="135"/>
      <c r="J559" s="135"/>
      <c r="K559" s="135"/>
    </row>
    <row r="560" ht="15.75" customHeight="1">
      <c r="A560" s="135"/>
      <c r="I560" s="135"/>
      <c r="J560" s="135"/>
      <c r="K560" s="135"/>
    </row>
    <row r="561" ht="15.75" customHeight="1">
      <c r="A561" s="135"/>
      <c r="I561" s="135"/>
      <c r="J561" s="135"/>
      <c r="K561" s="135"/>
    </row>
    <row r="562" ht="15.75" customHeight="1">
      <c r="A562" s="135"/>
      <c r="I562" s="135"/>
      <c r="J562" s="135"/>
      <c r="K562" s="135"/>
    </row>
    <row r="563" ht="15.75" customHeight="1">
      <c r="A563" s="135"/>
      <c r="I563" s="135"/>
      <c r="J563" s="135"/>
      <c r="K563" s="135"/>
    </row>
    <row r="564" ht="15.75" customHeight="1">
      <c r="A564" s="135"/>
      <c r="I564" s="135"/>
      <c r="J564" s="135"/>
      <c r="K564" s="135"/>
    </row>
    <row r="565" ht="15.75" customHeight="1">
      <c r="A565" s="135"/>
      <c r="I565" s="135"/>
      <c r="J565" s="135"/>
      <c r="K565" s="135"/>
    </row>
    <row r="566" ht="15.75" customHeight="1">
      <c r="A566" s="135"/>
      <c r="I566" s="135"/>
      <c r="J566" s="135"/>
      <c r="K566" s="135"/>
    </row>
    <row r="567" ht="15.75" customHeight="1">
      <c r="A567" s="135"/>
      <c r="I567" s="135"/>
      <c r="J567" s="135"/>
      <c r="K567" s="135"/>
    </row>
    <row r="568" ht="15.75" customHeight="1">
      <c r="A568" s="135"/>
      <c r="I568" s="135"/>
      <c r="J568" s="135"/>
      <c r="K568" s="135"/>
    </row>
    <row r="569" ht="15.75" customHeight="1">
      <c r="A569" s="135"/>
      <c r="I569" s="135"/>
      <c r="J569" s="135"/>
      <c r="K569" s="135"/>
    </row>
    <row r="570" ht="15.75" customHeight="1">
      <c r="A570" s="135"/>
      <c r="I570" s="135"/>
      <c r="J570" s="135"/>
      <c r="K570" s="135"/>
    </row>
    <row r="571" ht="15.75" customHeight="1">
      <c r="A571" s="135"/>
      <c r="I571" s="135"/>
      <c r="J571" s="135"/>
      <c r="K571" s="135"/>
    </row>
    <row r="572" ht="15.75" customHeight="1">
      <c r="A572" s="135"/>
      <c r="I572" s="135"/>
      <c r="J572" s="135"/>
      <c r="K572" s="135"/>
    </row>
    <row r="573" ht="15.75" customHeight="1">
      <c r="A573" s="135"/>
      <c r="I573" s="135"/>
      <c r="J573" s="135"/>
      <c r="K573" s="135"/>
    </row>
    <row r="574" ht="15.75" customHeight="1">
      <c r="A574" s="135"/>
      <c r="I574" s="135"/>
      <c r="J574" s="135"/>
      <c r="K574" s="135"/>
    </row>
    <row r="575" ht="15.75" customHeight="1">
      <c r="A575" s="135"/>
      <c r="I575" s="135"/>
      <c r="J575" s="135"/>
      <c r="K575" s="135"/>
    </row>
    <row r="576" ht="15.75" customHeight="1">
      <c r="A576" s="135"/>
      <c r="I576" s="135"/>
      <c r="J576" s="135"/>
      <c r="K576" s="135"/>
    </row>
    <row r="577" ht="15.75" customHeight="1">
      <c r="A577" s="135"/>
      <c r="I577" s="135"/>
      <c r="J577" s="135"/>
      <c r="K577" s="135"/>
    </row>
    <row r="578" ht="15.75" customHeight="1">
      <c r="A578" s="135"/>
      <c r="I578" s="135"/>
      <c r="J578" s="135"/>
      <c r="K578" s="135"/>
    </row>
    <row r="579" ht="15.75" customHeight="1">
      <c r="A579" s="135"/>
      <c r="I579" s="135"/>
      <c r="J579" s="135"/>
      <c r="K579" s="135"/>
    </row>
    <row r="580" ht="15.75" customHeight="1">
      <c r="A580" s="135"/>
      <c r="I580" s="135"/>
      <c r="J580" s="135"/>
      <c r="K580" s="135"/>
    </row>
    <row r="581" ht="15.75" customHeight="1">
      <c r="A581" s="135"/>
      <c r="I581" s="135"/>
      <c r="J581" s="135"/>
      <c r="K581" s="135"/>
    </row>
    <row r="582" ht="15.75" customHeight="1">
      <c r="A582" s="135"/>
      <c r="I582" s="135"/>
      <c r="J582" s="135"/>
      <c r="K582" s="135"/>
    </row>
    <row r="583" ht="15.75" customHeight="1">
      <c r="A583" s="135"/>
      <c r="I583" s="135"/>
      <c r="J583" s="135"/>
      <c r="K583" s="135"/>
    </row>
    <row r="584" ht="15.75" customHeight="1">
      <c r="A584" s="135"/>
      <c r="I584" s="135"/>
      <c r="J584" s="135"/>
      <c r="K584" s="135"/>
    </row>
    <row r="585" ht="15.75" customHeight="1">
      <c r="A585" s="135"/>
      <c r="I585" s="135"/>
      <c r="J585" s="135"/>
      <c r="K585" s="135"/>
    </row>
    <row r="586" ht="15.75" customHeight="1">
      <c r="A586" s="135"/>
      <c r="I586" s="135"/>
      <c r="J586" s="135"/>
      <c r="K586" s="135"/>
    </row>
    <row r="587" ht="15.75" customHeight="1">
      <c r="A587" s="135"/>
      <c r="I587" s="135"/>
      <c r="J587" s="135"/>
      <c r="K587" s="135"/>
    </row>
    <row r="588" ht="15.75" customHeight="1">
      <c r="A588" s="135"/>
      <c r="I588" s="135"/>
      <c r="J588" s="135"/>
      <c r="K588" s="135"/>
    </row>
    <row r="589" ht="15.75" customHeight="1">
      <c r="A589" s="135"/>
      <c r="I589" s="135"/>
      <c r="J589" s="135"/>
      <c r="K589" s="135"/>
    </row>
    <row r="590" ht="15.75" customHeight="1">
      <c r="A590" s="135"/>
      <c r="I590" s="135"/>
      <c r="J590" s="135"/>
      <c r="K590" s="135"/>
    </row>
    <row r="591" ht="15.75" customHeight="1">
      <c r="A591" s="135"/>
      <c r="I591" s="135"/>
      <c r="J591" s="135"/>
      <c r="K591" s="135"/>
    </row>
    <row r="592" ht="15.75" customHeight="1">
      <c r="A592" s="135"/>
      <c r="I592" s="135"/>
      <c r="J592" s="135"/>
      <c r="K592" s="135"/>
    </row>
    <row r="593" ht="15.75" customHeight="1">
      <c r="A593" s="135"/>
      <c r="I593" s="135"/>
      <c r="J593" s="135"/>
      <c r="K593" s="135"/>
    </row>
    <row r="594" ht="15.75" customHeight="1">
      <c r="A594" s="135"/>
      <c r="I594" s="135"/>
      <c r="J594" s="135"/>
      <c r="K594" s="135"/>
    </row>
    <row r="595" ht="15.75" customHeight="1">
      <c r="A595" s="135"/>
      <c r="I595" s="135"/>
      <c r="J595" s="135"/>
      <c r="K595" s="135"/>
    </row>
    <row r="596" ht="15.75" customHeight="1">
      <c r="A596" s="135"/>
      <c r="I596" s="135"/>
      <c r="J596" s="135"/>
      <c r="K596" s="135"/>
    </row>
    <row r="597" ht="15.75" customHeight="1">
      <c r="A597" s="135"/>
      <c r="I597" s="135"/>
      <c r="J597" s="135"/>
      <c r="K597" s="135"/>
    </row>
    <row r="598" ht="15.75" customHeight="1">
      <c r="A598" s="135"/>
      <c r="I598" s="135"/>
      <c r="J598" s="135"/>
      <c r="K598" s="135"/>
    </row>
    <row r="599" ht="15.75" customHeight="1">
      <c r="A599" s="135"/>
      <c r="I599" s="135"/>
      <c r="J599" s="135"/>
      <c r="K599" s="135"/>
    </row>
    <row r="600" ht="15.75" customHeight="1">
      <c r="A600" s="135"/>
      <c r="I600" s="135"/>
      <c r="J600" s="135"/>
      <c r="K600" s="135"/>
    </row>
    <row r="601" ht="15.75" customHeight="1">
      <c r="A601" s="135"/>
      <c r="I601" s="135"/>
      <c r="J601" s="135"/>
      <c r="K601" s="135"/>
    </row>
    <row r="602" ht="15.75" customHeight="1">
      <c r="A602" s="135"/>
      <c r="I602" s="135"/>
      <c r="J602" s="135"/>
      <c r="K602" s="135"/>
    </row>
    <row r="603" ht="15.75" customHeight="1">
      <c r="A603" s="135"/>
      <c r="I603" s="135"/>
      <c r="J603" s="135"/>
      <c r="K603" s="135"/>
    </row>
    <row r="604" ht="15.75" customHeight="1">
      <c r="A604" s="135"/>
      <c r="I604" s="135"/>
      <c r="J604" s="135"/>
      <c r="K604" s="135"/>
    </row>
    <row r="605" ht="15.75" customHeight="1">
      <c r="A605" s="135"/>
      <c r="I605" s="135"/>
      <c r="J605" s="135"/>
      <c r="K605" s="135"/>
    </row>
    <row r="606" ht="15.75" customHeight="1">
      <c r="A606" s="135"/>
      <c r="I606" s="135"/>
      <c r="J606" s="135"/>
      <c r="K606" s="135"/>
    </row>
    <row r="607" ht="15.75" customHeight="1">
      <c r="A607" s="135"/>
      <c r="I607" s="135"/>
      <c r="J607" s="135"/>
      <c r="K607" s="135"/>
    </row>
    <row r="608" ht="15.75" customHeight="1">
      <c r="A608" s="135"/>
      <c r="I608" s="135"/>
      <c r="J608" s="135"/>
      <c r="K608" s="135"/>
    </row>
    <row r="609" ht="15.75" customHeight="1">
      <c r="A609" s="135"/>
      <c r="I609" s="135"/>
      <c r="J609" s="135"/>
      <c r="K609" s="135"/>
    </row>
    <row r="610" ht="15.75" customHeight="1">
      <c r="A610" s="135"/>
      <c r="I610" s="135"/>
      <c r="J610" s="135"/>
      <c r="K610" s="135"/>
    </row>
    <row r="611" ht="15.75" customHeight="1">
      <c r="A611" s="135"/>
      <c r="I611" s="135"/>
      <c r="J611" s="135"/>
      <c r="K611" s="135"/>
    </row>
    <row r="612" ht="15.75" customHeight="1">
      <c r="A612" s="135"/>
      <c r="I612" s="135"/>
      <c r="J612" s="135"/>
      <c r="K612" s="135"/>
    </row>
    <row r="613" ht="15.75" customHeight="1">
      <c r="A613" s="135"/>
      <c r="I613" s="135"/>
      <c r="J613" s="135"/>
      <c r="K613" s="135"/>
    </row>
    <row r="614" ht="15.75" customHeight="1">
      <c r="A614" s="135"/>
      <c r="I614" s="135"/>
      <c r="J614" s="135"/>
      <c r="K614" s="135"/>
    </row>
    <row r="615" ht="15.75" customHeight="1">
      <c r="A615" s="135"/>
      <c r="I615" s="135"/>
      <c r="J615" s="135"/>
      <c r="K615" s="135"/>
    </row>
    <row r="616" ht="15.75" customHeight="1">
      <c r="A616" s="135"/>
      <c r="I616" s="135"/>
      <c r="J616" s="135"/>
      <c r="K616" s="135"/>
    </row>
    <row r="617" ht="15.75" customHeight="1">
      <c r="A617" s="135"/>
      <c r="I617" s="135"/>
      <c r="J617" s="135"/>
      <c r="K617" s="135"/>
    </row>
    <row r="618" ht="15.75" customHeight="1">
      <c r="A618" s="135"/>
      <c r="I618" s="135"/>
      <c r="J618" s="135"/>
      <c r="K618" s="135"/>
    </row>
    <row r="619" ht="15.75" customHeight="1">
      <c r="A619" s="135"/>
      <c r="I619" s="135"/>
      <c r="J619" s="135"/>
      <c r="K619" s="135"/>
    </row>
    <row r="620" ht="15.75" customHeight="1">
      <c r="A620" s="135"/>
      <c r="I620" s="135"/>
      <c r="J620" s="135"/>
      <c r="K620" s="135"/>
    </row>
    <row r="621" ht="15.75" customHeight="1">
      <c r="A621" s="135"/>
      <c r="I621" s="135"/>
      <c r="J621" s="135"/>
      <c r="K621" s="135"/>
    </row>
    <row r="622" ht="15.75" customHeight="1">
      <c r="A622" s="135"/>
      <c r="I622" s="135"/>
      <c r="J622" s="135"/>
      <c r="K622" s="135"/>
    </row>
    <row r="623" ht="15.75" customHeight="1">
      <c r="A623" s="135"/>
      <c r="I623" s="135"/>
      <c r="J623" s="135"/>
      <c r="K623" s="135"/>
    </row>
    <row r="624" ht="15.75" customHeight="1">
      <c r="A624" s="135"/>
      <c r="I624" s="135"/>
      <c r="J624" s="135"/>
      <c r="K624" s="135"/>
    </row>
    <row r="625" ht="15.75" customHeight="1">
      <c r="A625" s="135"/>
      <c r="I625" s="135"/>
      <c r="J625" s="135"/>
      <c r="K625" s="135"/>
    </row>
    <row r="626" ht="15.75" customHeight="1">
      <c r="A626" s="135"/>
      <c r="I626" s="135"/>
      <c r="J626" s="135"/>
      <c r="K626" s="135"/>
    </row>
    <row r="627" ht="15.75" customHeight="1">
      <c r="A627" s="135"/>
      <c r="I627" s="135"/>
      <c r="J627" s="135"/>
      <c r="K627" s="135"/>
    </row>
    <row r="628" ht="15.75" customHeight="1">
      <c r="A628" s="135"/>
      <c r="I628" s="135"/>
      <c r="J628" s="135"/>
      <c r="K628" s="135"/>
    </row>
    <row r="629" ht="15.75" customHeight="1">
      <c r="A629" s="135"/>
      <c r="I629" s="135"/>
      <c r="J629" s="135"/>
      <c r="K629" s="135"/>
    </row>
    <row r="630" ht="15.75" customHeight="1">
      <c r="A630" s="135"/>
      <c r="I630" s="135"/>
      <c r="J630" s="135"/>
      <c r="K630" s="135"/>
    </row>
    <row r="631" ht="15.75" customHeight="1">
      <c r="A631" s="135"/>
      <c r="I631" s="135"/>
      <c r="J631" s="135"/>
      <c r="K631" s="135"/>
    </row>
    <row r="632" ht="15.75" customHeight="1">
      <c r="A632" s="135"/>
      <c r="I632" s="135"/>
      <c r="J632" s="135"/>
      <c r="K632" s="135"/>
    </row>
    <row r="633" ht="15.75" customHeight="1">
      <c r="A633" s="135"/>
      <c r="I633" s="135"/>
      <c r="J633" s="135"/>
      <c r="K633" s="135"/>
    </row>
    <row r="634" ht="15.75" customHeight="1">
      <c r="A634" s="135"/>
      <c r="I634" s="135"/>
      <c r="J634" s="135"/>
      <c r="K634" s="135"/>
    </row>
    <row r="635" ht="15.75" customHeight="1">
      <c r="A635" s="135"/>
      <c r="I635" s="135"/>
      <c r="J635" s="135"/>
      <c r="K635" s="135"/>
    </row>
    <row r="636" ht="15.75" customHeight="1">
      <c r="A636" s="135"/>
      <c r="I636" s="135"/>
      <c r="J636" s="135"/>
      <c r="K636" s="135"/>
    </row>
    <row r="637" ht="15.75" customHeight="1">
      <c r="A637" s="135"/>
      <c r="I637" s="135"/>
      <c r="J637" s="135"/>
      <c r="K637" s="135"/>
    </row>
    <row r="638" ht="15.75" customHeight="1">
      <c r="A638" s="135"/>
      <c r="I638" s="135"/>
      <c r="J638" s="135"/>
      <c r="K638" s="135"/>
    </row>
    <row r="639" ht="15.75" customHeight="1">
      <c r="A639" s="135"/>
      <c r="I639" s="135"/>
      <c r="J639" s="135"/>
      <c r="K639" s="135"/>
    </row>
    <row r="640" ht="15.75" customHeight="1">
      <c r="A640" s="135"/>
      <c r="I640" s="135"/>
      <c r="J640" s="135"/>
      <c r="K640" s="135"/>
    </row>
    <row r="641" ht="15.75" customHeight="1">
      <c r="A641" s="135"/>
      <c r="I641" s="135"/>
      <c r="J641" s="135"/>
      <c r="K641" s="135"/>
    </row>
    <row r="642" ht="15.75" customHeight="1">
      <c r="A642" s="135"/>
      <c r="I642" s="135"/>
      <c r="J642" s="135"/>
      <c r="K642" s="135"/>
    </row>
    <row r="643" ht="15.75" customHeight="1">
      <c r="A643" s="135"/>
      <c r="I643" s="135"/>
      <c r="J643" s="135"/>
      <c r="K643" s="135"/>
    </row>
    <row r="644" ht="15.75" customHeight="1">
      <c r="A644" s="135"/>
      <c r="I644" s="135"/>
      <c r="J644" s="135"/>
      <c r="K644" s="135"/>
    </row>
    <row r="645" ht="15.75" customHeight="1">
      <c r="A645" s="135"/>
      <c r="I645" s="135"/>
      <c r="J645" s="135"/>
      <c r="K645" s="135"/>
    </row>
    <row r="646" ht="15.75" customHeight="1">
      <c r="A646" s="135"/>
      <c r="I646" s="135"/>
      <c r="J646" s="135"/>
      <c r="K646" s="135"/>
    </row>
    <row r="647" ht="15.75" customHeight="1">
      <c r="A647" s="135"/>
      <c r="I647" s="135"/>
      <c r="J647" s="135"/>
      <c r="K647" s="135"/>
    </row>
    <row r="648" ht="15.75" customHeight="1">
      <c r="A648" s="135"/>
      <c r="I648" s="135"/>
      <c r="J648" s="135"/>
      <c r="K648" s="135"/>
    </row>
    <row r="649" ht="15.75" customHeight="1">
      <c r="A649" s="135"/>
      <c r="I649" s="135"/>
      <c r="J649" s="135"/>
      <c r="K649" s="135"/>
    </row>
    <row r="650" ht="15.75" customHeight="1">
      <c r="A650" s="135"/>
      <c r="I650" s="135"/>
      <c r="J650" s="135"/>
      <c r="K650" s="135"/>
    </row>
    <row r="651" ht="15.75" customHeight="1">
      <c r="A651" s="135"/>
      <c r="I651" s="135"/>
      <c r="J651" s="135"/>
      <c r="K651" s="135"/>
    </row>
    <row r="652" ht="15.75" customHeight="1">
      <c r="A652" s="135"/>
      <c r="I652" s="135"/>
      <c r="J652" s="135"/>
      <c r="K652" s="135"/>
    </row>
    <row r="653" ht="15.75" customHeight="1">
      <c r="A653" s="135"/>
      <c r="I653" s="135"/>
      <c r="J653" s="135"/>
      <c r="K653" s="135"/>
    </row>
    <row r="654" ht="15.75" customHeight="1">
      <c r="A654" s="135"/>
      <c r="I654" s="135"/>
      <c r="J654" s="135"/>
      <c r="K654" s="135"/>
    </row>
    <row r="655" ht="15.75" customHeight="1">
      <c r="A655" s="135"/>
      <c r="I655" s="135"/>
      <c r="J655" s="135"/>
      <c r="K655" s="135"/>
    </row>
    <row r="656" ht="15.75" customHeight="1">
      <c r="A656" s="135"/>
      <c r="I656" s="135"/>
      <c r="J656" s="135"/>
      <c r="K656" s="135"/>
    </row>
    <row r="657" ht="15.75" customHeight="1">
      <c r="A657" s="135"/>
      <c r="I657" s="135"/>
      <c r="J657" s="135"/>
      <c r="K657" s="135"/>
    </row>
    <row r="658" ht="15.75" customHeight="1">
      <c r="A658" s="135"/>
      <c r="I658" s="135"/>
      <c r="J658" s="135"/>
      <c r="K658" s="135"/>
    </row>
    <row r="659" ht="15.75" customHeight="1">
      <c r="A659" s="135"/>
      <c r="I659" s="135"/>
      <c r="J659" s="135"/>
      <c r="K659" s="135"/>
    </row>
    <row r="660" ht="15.75" customHeight="1">
      <c r="A660" s="135"/>
      <c r="I660" s="135"/>
      <c r="J660" s="135"/>
      <c r="K660" s="135"/>
    </row>
    <row r="661" ht="15.75" customHeight="1">
      <c r="A661" s="135"/>
      <c r="I661" s="135"/>
      <c r="J661" s="135"/>
      <c r="K661" s="135"/>
    </row>
    <row r="662" ht="15.75" customHeight="1">
      <c r="A662" s="135"/>
      <c r="I662" s="135"/>
      <c r="J662" s="135"/>
      <c r="K662" s="135"/>
    </row>
    <row r="663" ht="15.75" customHeight="1">
      <c r="A663" s="135"/>
      <c r="I663" s="135"/>
      <c r="J663" s="135"/>
      <c r="K663" s="135"/>
    </row>
    <row r="664" ht="15.75" customHeight="1">
      <c r="A664" s="135"/>
      <c r="I664" s="135"/>
      <c r="J664" s="135"/>
      <c r="K664" s="135"/>
    </row>
    <row r="665" ht="15.75" customHeight="1">
      <c r="A665" s="135"/>
      <c r="I665" s="135"/>
      <c r="J665" s="135"/>
      <c r="K665" s="135"/>
    </row>
    <row r="666" ht="15.75" customHeight="1">
      <c r="A666" s="135"/>
      <c r="I666" s="135"/>
      <c r="J666" s="135"/>
      <c r="K666" s="135"/>
    </row>
    <row r="667" ht="15.75" customHeight="1">
      <c r="A667" s="135"/>
      <c r="I667" s="135"/>
      <c r="J667" s="135"/>
      <c r="K667" s="135"/>
    </row>
    <row r="668" ht="15.75" customHeight="1">
      <c r="A668" s="135"/>
      <c r="I668" s="135"/>
      <c r="J668" s="135"/>
      <c r="K668" s="135"/>
    </row>
    <row r="669" ht="15.75" customHeight="1">
      <c r="A669" s="135"/>
      <c r="I669" s="135"/>
      <c r="J669" s="135"/>
      <c r="K669" s="135"/>
    </row>
    <row r="670" ht="15.75" customHeight="1">
      <c r="A670" s="135"/>
      <c r="I670" s="135"/>
      <c r="J670" s="135"/>
      <c r="K670" s="135"/>
    </row>
    <row r="671" ht="15.75" customHeight="1">
      <c r="A671" s="135"/>
      <c r="I671" s="135"/>
      <c r="J671" s="135"/>
      <c r="K671" s="135"/>
    </row>
    <row r="672" ht="15.75" customHeight="1">
      <c r="A672" s="135"/>
      <c r="I672" s="135"/>
      <c r="J672" s="135"/>
      <c r="K672" s="135"/>
    </row>
    <row r="673" ht="15.75" customHeight="1">
      <c r="A673" s="135"/>
      <c r="I673" s="135"/>
      <c r="J673" s="135"/>
      <c r="K673" s="135"/>
    </row>
    <row r="674" ht="15.75" customHeight="1">
      <c r="A674" s="135"/>
      <c r="I674" s="135"/>
      <c r="J674" s="135"/>
      <c r="K674" s="135"/>
    </row>
    <row r="675" ht="15.75" customHeight="1">
      <c r="A675" s="135"/>
      <c r="I675" s="135"/>
      <c r="J675" s="135"/>
      <c r="K675" s="135"/>
    </row>
    <row r="676" ht="15.75" customHeight="1">
      <c r="A676" s="135"/>
      <c r="I676" s="135"/>
      <c r="J676" s="135"/>
      <c r="K676" s="135"/>
    </row>
    <row r="677" ht="15.75" customHeight="1">
      <c r="A677" s="135"/>
      <c r="I677" s="135"/>
      <c r="J677" s="135"/>
      <c r="K677" s="135"/>
    </row>
    <row r="678" ht="15.75" customHeight="1">
      <c r="A678" s="135"/>
      <c r="I678" s="135"/>
      <c r="J678" s="135"/>
      <c r="K678" s="135"/>
    </row>
    <row r="679" ht="15.75" customHeight="1">
      <c r="A679" s="135"/>
      <c r="I679" s="135"/>
      <c r="J679" s="135"/>
      <c r="K679" s="135"/>
    </row>
    <row r="680" ht="15.75" customHeight="1">
      <c r="A680" s="135"/>
      <c r="I680" s="135"/>
      <c r="J680" s="135"/>
      <c r="K680" s="135"/>
    </row>
    <row r="681" ht="15.75" customHeight="1">
      <c r="A681" s="135"/>
      <c r="I681" s="135"/>
      <c r="J681" s="135"/>
      <c r="K681" s="135"/>
    </row>
    <row r="682" ht="15.75" customHeight="1">
      <c r="A682" s="135"/>
      <c r="I682" s="135"/>
      <c r="J682" s="135"/>
      <c r="K682" s="135"/>
    </row>
    <row r="683" ht="15.75" customHeight="1">
      <c r="A683" s="135"/>
      <c r="I683" s="135"/>
      <c r="J683" s="135"/>
      <c r="K683" s="135"/>
    </row>
    <row r="684" ht="15.75" customHeight="1">
      <c r="A684" s="135"/>
      <c r="I684" s="135"/>
      <c r="J684" s="135"/>
      <c r="K684" s="135"/>
    </row>
    <row r="685" ht="15.75" customHeight="1">
      <c r="A685" s="135"/>
      <c r="I685" s="135"/>
      <c r="J685" s="135"/>
      <c r="K685" s="135"/>
    </row>
    <row r="686" ht="15.75" customHeight="1">
      <c r="A686" s="135"/>
      <c r="I686" s="135"/>
      <c r="J686" s="135"/>
      <c r="K686" s="135"/>
    </row>
    <row r="687" ht="15.75" customHeight="1">
      <c r="A687" s="135"/>
      <c r="I687" s="135"/>
      <c r="J687" s="135"/>
      <c r="K687" s="135"/>
    </row>
    <row r="688" ht="15.75" customHeight="1">
      <c r="A688" s="135"/>
      <c r="I688" s="135"/>
      <c r="J688" s="135"/>
      <c r="K688" s="135"/>
    </row>
    <row r="689" ht="15.75" customHeight="1">
      <c r="A689" s="135"/>
      <c r="I689" s="135"/>
      <c r="J689" s="135"/>
      <c r="K689" s="135"/>
    </row>
    <row r="690" ht="15.75" customHeight="1">
      <c r="A690" s="135"/>
      <c r="I690" s="135"/>
      <c r="J690" s="135"/>
      <c r="K690" s="135"/>
    </row>
    <row r="691" ht="15.75" customHeight="1">
      <c r="A691" s="135"/>
      <c r="I691" s="135"/>
      <c r="J691" s="135"/>
      <c r="K691" s="135"/>
    </row>
    <row r="692" ht="15.75" customHeight="1">
      <c r="A692" s="135"/>
      <c r="I692" s="135"/>
      <c r="J692" s="135"/>
      <c r="K692" s="135"/>
    </row>
    <row r="693" ht="15.75" customHeight="1">
      <c r="A693" s="135"/>
      <c r="I693" s="135"/>
      <c r="J693" s="135"/>
      <c r="K693" s="135"/>
    </row>
    <row r="694" ht="15.75" customHeight="1">
      <c r="A694" s="135"/>
      <c r="I694" s="135"/>
      <c r="J694" s="135"/>
      <c r="K694" s="135"/>
    </row>
    <row r="695" ht="15.75" customHeight="1">
      <c r="A695" s="135"/>
      <c r="I695" s="135"/>
      <c r="J695" s="135"/>
      <c r="K695" s="135"/>
    </row>
    <row r="696" ht="15.75" customHeight="1">
      <c r="A696" s="135"/>
      <c r="I696" s="135"/>
      <c r="J696" s="135"/>
      <c r="K696" s="135"/>
    </row>
    <row r="697" ht="15.75" customHeight="1">
      <c r="A697" s="135"/>
      <c r="I697" s="135"/>
      <c r="J697" s="135"/>
      <c r="K697" s="135"/>
    </row>
    <row r="698" ht="15.75" customHeight="1">
      <c r="A698" s="135"/>
      <c r="I698" s="135"/>
      <c r="J698" s="135"/>
      <c r="K698" s="135"/>
    </row>
    <row r="699" ht="15.75" customHeight="1">
      <c r="A699" s="135"/>
      <c r="I699" s="135"/>
      <c r="J699" s="135"/>
      <c r="K699" s="135"/>
    </row>
    <row r="700" ht="15.75" customHeight="1">
      <c r="A700" s="135"/>
      <c r="I700" s="135"/>
      <c r="J700" s="135"/>
      <c r="K700" s="135"/>
    </row>
    <row r="701" ht="15.75" customHeight="1">
      <c r="A701" s="135"/>
      <c r="I701" s="135"/>
      <c r="J701" s="135"/>
      <c r="K701" s="135"/>
    </row>
    <row r="702" ht="15.75" customHeight="1">
      <c r="A702" s="135"/>
      <c r="I702" s="135"/>
      <c r="J702" s="135"/>
      <c r="K702" s="135"/>
    </row>
    <row r="703" ht="15.75" customHeight="1">
      <c r="A703" s="135"/>
      <c r="I703" s="135"/>
      <c r="J703" s="135"/>
      <c r="K703" s="135"/>
    </row>
    <row r="704" ht="15.75" customHeight="1">
      <c r="A704" s="135"/>
      <c r="I704" s="135"/>
      <c r="J704" s="135"/>
      <c r="K704" s="135"/>
    </row>
    <row r="705" ht="15.75" customHeight="1">
      <c r="A705" s="135"/>
      <c r="I705" s="135"/>
      <c r="J705" s="135"/>
      <c r="K705" s="135"/>
    </row>
    <row r="706" ht="15.75" customHeight="1">
      <c r="A706" s="135"/>
      <c r="I706" s="135"/>
      <c r="J706" s="135"/>
      <c r="K706" s="135"/>
    </row>
    <row r="707" ht="15.75" customHeight="1">
      <c r="A707" s="135"/>
      <c r="I707" s="135"/>
      <c r="J707" s="135"/>
      <c r="K707" s="135"/>
    </row>
    <row r="708" ht="15.75" customHeight="1">
      <c r="A708" s="135"/>
      <c r="I708" s="135"/>
      <c r="J708" s="135"/>
      <c r="K708" s="135"/>
    </row>
    <row r="709" ht="15.75" customHeight="1">
      <c r="A709" s="135"/>
      <c r="I709" s="135"/>
      <c r="J709" s="135"/>
      <c r="K709" s="135"/>
    </row>
    <row r="710" ht="15.75" customHeight="1">
      <c r="A710" s="135"/>
      <c r="I710" s="135"/>
      <c r="J710" s="135"/>
      <c r="K710" s="135"/>
    </row>
    <row r="711" ht="15.75" customHeight="1">
      <c r="A711" s="135"/>
      <c r="I711" s="135"/>
      <c r="J711" s="135"/>
      <c r="K711" s="135"/>
    </row>
    <row r="712" ht="15.75" customHeight="1">
      <c r="A712" s="135"/>
      <c r="I712" s="135"/>
      <c r="J712" s="135"/>
      <c r="K712" s="135"/>
    </row>
    <row r="713" ht="15.75" customHeight="1">
      <c r="A713" s="135"/>
      <c r="I713" s="135"/>
      <c r="J713" s="135"/>
      <c r="K713" s="135"/>
    </row>
    <row r="714" ht="15.75" customHeight="1">
      <c r="A714" s="135"/>
      <c r="I714" s="135"/>
      <c r="J714" s="135"/>
      <c r="K714" s="135"/>
    </row>
    <row r="715" ht="15.75" customHeight="1">
      <c r="A715" s="135"/>
      <c r="I715" s="135"/>
      <c r="J715" s="135"/>
      <c r="K715" s="135"/>
    </row>
    <row r="716" ht="15.75" customHeight="1">
      <c r="A716" s="135"/>
      <c r="I716" s="135"/>
      <c r="J716" s="135"/>
      <c r="K716" s="135"/>
    </row>
    <row r="717" ht="15.75" customHeight="1">
      <c r="A717" s="135"/>
      <c r="I717" s="135"/>
      <c r="J717" s="135"/>
      <c r="K717" s="135"/>
    </row>
    <row r="718" ht="15.75" customHeight="1">
      <c r="A718" s="135"/>
      <c r="I718" s="135"/>
      <c r="J718" s="135"/>
      <c r="K718" s="135"/>
    </row>
    <row r="719" ht="15.75" customHeight="1">
      <c r="A719" s="135"/>
      <c r="I719" s="135"/>
      <c r="J719" s="135"/>
      <c r="K719" s="135"/>
    </row>
    <row r="720" ht="15.75" customHeight="1">
      <c r="A720" s="135"/>
      <c r="I720" s="135"/>
      <c r="J720" s="135"/>
      <c r="K720" s="135"/>
    </row>
    <row r="721" ht="15.75" customHeight="1">
      <c r="A721" s="135"/>
      <c r="I721" s="135"/>
      <c r="J721" s="135"/>
      <c r="K721" s="135"/>
    </row>
    <row r="722" ht="15.75" customHeight="1">
      <c r="A722" s="135"/>
      <c r="I722" s="135"/>
      <c r="J722" s="135"/>
      <c r="K722" s="135"/>
    </row>
    <row r="723" ht="15.75" customHeight="1">
      <c r="A723" s="135"/>
      <c r="I723" s="135"/>
      <c r="J723" s="135"/>
      <c r="K723" s="135"/>
    </row>
    <row r="724" ht="15.75" customHeight="1">
      <c r="A724" s="135"/>
      <c r="I724" s="135"/>
      <c r="J724" s="135"/>
      <c r="K724" s="135"/>
    </row>
    <row r="725" ht="15.75" customHeight="1">
      <c r="A725" s="135"/>
      <c r="I725" s="135"/>
      <c r="J725" s="135"/>
      <c r="K725" s="135"/>
    </row>
    <row r="726" ht="15.75" customHeight="1">
      <c r="A726" s="135"/>
      <c r="I726" s="135"/>
      <c r="J726" s="135"/>
      <c r="K726" s="135"/>
    </row>
    <row r="727" ht="15.75" customHeight="1">
      <c r="A727" s="135"/>
      <c r="I727" s="135"/>
      <c r="J727" s="135"/>
      <c r="K727" s="135"/>
    </row>
    <row r="728" ht="15.75" customHeight="1">
      <c r="A728" s="135"/>
      <c r="I728" s="135"/>
      <c r="J728" s="135"/>
      <c r="K728" s="135"/>
    </row>
    <row r="729" ht="15.75" customHeight="1">
      <c r="A729" s="135"/>
      <c r="I729" s="135"/>
      <c r="J729" s="135"/>
      <c r="K729" s="135"/>
    </row>
    <row r="730" ht="15.75" customHeight="1">
      <c r="A730" s="135"/>
      <c r="I730" s="135"/>
      <c r="J730" s="135"/>
      <c r="K730" s="135"/>
    </row>
    <row r="731" ht="15.75" customHeight="1">
      <c r="A731" s="135"/>
      <c r="I731" s="135"/>
      <c r="J731" s="135"/>
      <c r="K731" s="135"/>
    </row>
    <row r="732" ht="15.75" customHeight="1">
      <c r="A732" s="135"/>
      <c r="I732" s="135"/>
      <c r="J732" s="135"/>
      <c r="K732" s="135"/>
    </row>
    <row r="733" ht="15.75" customHeight="1">
      <c r="A733" s="135"/>
      <c r="I733" s="135"/>
      <c r="J733" s="135"/>
      <c r="K733" s="135"/>
    </row>
    <row r="734" ht="15.75" customHeight="1">
      <c r="A734" s="135"/>
      <c r="I734" s="135"/>
      <c r="J734" s="135"/>
      <c r="K734" s="135"/>
    </row>
    <row r="735" ht="15.75" customHeight="1">
      <c r="A735" s="135"/>
      <c r="I735" s="135"/>
      <c r="J735" s="135"/>
      <c r="K735" s="135"/>
    </row>
    <row r="736" ht="15.75" customHeight="1">
      <c r="A736" s="135"/>
      <c r="I736" s="135"/>
      <c r="J736" s="135"/>
      <c r="K736" s="135"/>
    </row>
    <row r="737" ht="15.75" customHeight="1">
      <c r="A737" s="135"/>
      <c r="I737" s="135"/>
      <c r="J737" s="135"/>
      <c r="K737" s="135"/>
    </row>
    <row r="738" ht="15.75" customHeight="1">
      <c r="A738" s="135"/>
      <c r="I738" s="135"/>
      <c r="J738" s="135"/>
      <c r="K738" s="135"/>
    </row>
    <row r="739" ht="15.75" customHeight="1">
      <c r="A739" s="135"/>
      <c r="I739" s="135"/>
      <c r="J739" s="135"/>
      <c r="K739" s="135"/>
    </row>
    <row r="740" ht="15.75" customHeight="1">
      <c r="A740" s="135"/>
      <c r="I740" s="135"/>
      <c r="J740" s="135"/>
      <c r="K740" s="135"/>
    </row>
    <row r="741" ht="15.75" customHeight="1">
      <c r="A741" s="135"/>
      <c r="I741" s="135"/>
      <c r="J741" s="135"/>
      <c r="K741" s="135"/>
    </row>
    <row r="742" ht="15.75" customHeight="1">
      <c r="A742" s="135"/>
      <c r="I742" s="135"/>
      <c r="J742" s="135"/>
      <c r="K742" s="135"/>
    </row>
    <row r="743" ht="15.75" customHeight="1">
      <c r="A743" s="135"/>
      <c r="I743" s="135"/>
      <c r="J743" s="135"/>
      <c r="K743" s="135"/>
    </row>
    <row r="744" ht="15.75" customHeight="1">
      <c r="A744" s="135"/>
      <c r="I744" s="135"/>
      <c r="J744" s="135"/>
      <c r="K744" s="135"/>
    </row>
    <row r="745" ht="15.75" customHeight="1">
      <c r="A745" s="135"/>
      <c r="I745" s="135"/>
      <c r="J745" s="135"/>
      <c r="K745" s="135"/>
    </row>
    <row r="746" ht="15.75" customHeight="1">
      <c r="A746" s="135"/>
      <c r="I746" s="135"/>
      <c r="J746" s="135"/>
      <c r="K746" s="135"/>
    </row>
    <row r="747" ht="15.75" customHeight="1">
      <c r="A747" s="135"/>
      <c r="I747" s="135"/>
      <c r="J747" s="135"/>
      <c r="K747" s="135"/>
    </row>
    <row r="748" ht="15.75" customHeight="1">
      <c r="A748" s="135"/>
      <c r="I748" s="135"/>
      <c r="J748" s="135"/>
      <c r="K748" s="135"/>
    </row>
    <row r="749" ht="15.75" customHeight="1">
      <c r="A749" s="135"/>
      <c r="I749" s="135"/>
      <c r="J749" s="135"/>
      <c r="K749" s="135"/>
    </row>
    <row r="750" ht="15.75" customHeight="1">
      <c r="A750" s="135"/>
      <c r="I750" s="135"/>
      <c r="J750" s="135"/>
      <c r="K750" s="135"/>
    </row>
    <row r="751" ht="15.75" customHeight="1">
      <c r="A751" s="135"/>
      <c r="I751" s="135"/>
      <c r="J751" s="135"/>
      <c r="K751" s="135"/>
    </row>
    <row r="752" ht="15.75" customHeight="1">
      <c r="A752" s="135"/>
      <c r="I752" s="135"/>
      <c r="J752" s="135"/>
      <c r="K752" s="135"/>
    </row>
    <row r="753" ht="15.75" customHeight="1">
      <c r="A753" s="135"/>
      <c r="I753" s="135"/>
      <c r="J753" s="135"/>
      <c r="K753" s="135"/>
    </row>
    <row r="754" ht="15.75" customHeight="1">
      <c r="A754" s="135"/>
      <c r="I754" s="135"/>
      <c r="J754" s="135"/>
      <c r="K754" s="135"/>
    </row>
    <row r="755" ht="15.75" customHeight="1">
      <c r="A755" s="135"/>
      <c r="I755" s="135"/>
      <c r="J755" s="135"/>
      <c r="K755" s="135"/>
    </row>
    <row r="756" ht="15.75" customHeight="1">
      <c r="A756" s="135"/>
      <c r="I756" s="135"/>
      <c r="J756" s="135"/>
      <c r="K756" s="135"/>
    </row>
    <row r="757" ht="15.75" customHeight="1">
      <c r="A757" s="135"/>
      <c r="I757" s="135"/>
      <c r="J757" s="135"/>
      <c r="K757" s="135"/>
    </row>
    <row r="758" ht="15.75" customHeight="1">
      <c r="A758" s="135"/>
      <c r="I758" s="135"/>
      <c r="J758" s="135"/>
      <c r="K758" s="135"/>
    </row>
    <row r="759" ht="15.75" customHeight="1">
      <c r="A759" s="135"/>
      <c r="I759" s="135"/>
      <c r="J759" s="135"/>
      <c r="K759" s="135"/>
    </row>
    <row r="760" ht="15.75" customHeight="1">
      <c r="A760" s="135"/>
      <c r="I760" s="135"/>
      <c r="J760" s="135"/>
      <c r="K760" s="135"/>
    </row>
    <row r="761" ht="15.75" customHeight="1">
      <c r="A761" s="135"/>
      <c r="I761" s="135"/>
      <c r="J761" s="135"/>
      <c r="K761" s="135"/>
    </row>
    <row r="762" ht="15.75" customHeight="1">
      <c r="A762" s="135"/>
      <c r="I762" s="135"/>
      <c r="J762" s="135"/>
      <c r="K762" s="135"/>
    </row>
    <row r="763" ht="15.75" customHeight="1">
      <c r="A763" s="135"/>
      <c r="I763" s="135"/>
      <c r="J763" s="135"/>
      <c r="K763" s="135"/>
    </row>
    <row r="764" ht="15.75" customHeight="1">
      <c r="A764" s="135"/>
      <c r="I764" s="135"/>
      <c r="J764" s="135"/>
      <c r="K764" s="135"/>
    </row>
    <row r="765" ht="15.75" customHeight="1">
      <c r="A765" s="135"/>
      <c r="I765" s="135"/>
      <c r="J765" s="135"/>
      <c r="K765" s="135"/>
    </row>
    <row r="766" ht="15.75" customHeight="1">
      <c r="A766" s="135"/>
      <c r="I766" s="135"/>
      <c r="J766" s="135"/>
      <c r="K766" s="135"/>
    </row>
    <row r="767" ht="15.75" customHeight="1">
      <c r="A767" s="135"/>
      <c r="I767" s="135"/>
      <c r="J767" s="135"/>
      <c r="K767" s="135"/>
    </row>
    <row r="768" ht="15.75" customHeight="1">
      <c r="A768" s="135"/>
      <c r="I768" s="135"/>
      <c r="J768" s="135"/>
      <c r="K768" s="135"/>
    </row>
    <row r="769" ht="15.75" customHeight="1">
      <c r="A769" s="135"/>
      <c r="I769" s="135"/>
      <c r="J769" s="135"/>
      <c r="K769" s="135"/>
    </row>
    <row r="770" ht="15.75" customHeight="1">
      <c r="A770" s="135"/>
      <c r="I770" s="135"/>
      <c r="J770" s="135"/>
      <c r="K770" s="135"/>
    </row>
    <row r="771" ht="15.75" customHeight="1">
      <c r="A771" s="135"/>
      <c r="I771" s="135"/>
      <c r="J771" s="135"/>
      <c r="K771" s="135"/>
    </row>
    <row r="772" ht="15.75" customHeight="1">
      <c r="A772" s="135"/>
      <c r="I772" s="135"/>
      <c r="J772" s="135"/>
      <c r="K772" s="135"/>
    </row>
    <row r="773" ht="15.75" customHeight="1">
      <c r="A773" s="135"/>
      <c r="I773" s="135"/>
      <c r="J773" s="135"/>
      <c r="K773" s="135"/>
    </row>
    <row r="774" ht="15.75" customHeight="1">
      <c r="A774" s="135"/>
      <c r="I774" s="135"/>
      <c r="J774" s="135"/>
      <c r="K774" s="135"/>
    </row>
    <row r="775" ht="15.75" customHeight="1">
      <c r="A775" s="135"/>
      <c r="I775" s="135"/>
      <c r="J775" s="135"/>
      <c r="K775" s="135"/>
    </row>
    <row r="776" ht="15.75" customHeight="1">
      <c r="A776" s="135"/>
      <c r="I776" s="135"/>
      <c r="J776" s="135"/>
      <c r="K776" s="135"/>
    </row>
    <row r="777" ht="15.75" customHeight="1">
      <c r="A777" s="135"/>
      <c r="I777" s="135"/>
      <c r="J777" s="135"/>
      <c r="K777" s="135"/>
    </row>
    <row r="778" ht="15.75" customHeight="1">
      <c r="A778" s="135"/>
      <c r="I778" s="135"/>
      <c r="J778" s="135"/>
      <c r="K778" s="135"/>
    </row>
    <row r="779" ht="15.75" customHeight="1">
      <c r="A779" s="135"/>
      <c r="I779" s="135"/>
      <c r="J779" s="135"/>
      <c r="K779" s="135"/>
    </row>
    <row r="780" ht="15.75" customHeight="1">
      <c r="A780" s="135"/>
      <c r="I780" s="135"/>
      <c r="J780" s="135"/>
      <c r="K780" s="135"/>
    </row>
    <row r="781" ht="15.75" customHeight="1">
      <c r="A781" s="135"/>
      <c r="I781" s="135"/>
      <c r="J781" s="135"/>
      <c r="K781" s="135"/>
    </row>
    <row r="782" ht="15.75" customHeight="1">
      <c r="A782" s="135"/>
      <c r="I782" s="135"/>
      <c r="J782" s="135"/>
      <c r="K782" s="135"/>
    </row>
    <row r="783" ht="15.75" customHeight="1">
      <c r="A783" s="135"/>
      <c r="I783" s="135"/>
      <c r="J783" s="135"/>
      <c r="K783" s="135"/>
    </row>
    <row r="784" ht="15.75" customHeight="1">
      <c r="A784" s="135"/>
      <c r="I784" s="135"/>
      <c r="J784" s="135"/>
      <c r="K784" s="135"/>
    </row>
    <row r="785" ht="15.75" customHeight="1">
      <c r="A785" s="135"/>
      <c r="I785" s="135"/>
      <c r="J785" s="135"/>
      <c r="K785" s="135"/>
    </row>
    <row r="786" ht="15.75" customHeight="1">
      <c r="A786" s="135"/>
      <c r="I786" s="135"/>
      <c r="J786" s="135"/>
      <c r="K786" s="135"/>
    </row>
    <row r="787" ht="15.75" customHeight="1">
      <c r="A787" s="135"/>
      <c r="I787" s="135"/>
      <c r="J787" s="135"/>
      <c r="K787" s="135"/>
    </row>
    <row r="788" ht="15.75" customHeight="1">
      <c r="A788" s="135"/>
      <c r="I788" s="135"/>
      <c r="J788" s="135"/>
      <c r="K788" s="135"/>
    </row>
    <row r="789" ht="15.75" customHeight="1">
      <c r="A789" s="135"/>
      <c r="I789" s="135"/>
      <c r="J789" s="135"/>
      <c r="K789" s="135"/>
    </row>
    <row r="790" ht="15.75" customHeight="1">
      <c r="A790" s="135"/>
      <c r="I790" s="135"/>
      <c r="J790" s="135"/>
      <c r="K790" s="135"/>
    </row>
    <row r="791" ht="15.75" customHeight="1">
      <c r="A791" s="135"/>
      <c r="I791" s="135"/>
      <c r="J791" s="135"/>
      <c r="K791" s="135"/>
    </row>
    <row r="792" ht="15.75" customHeight="1">
      <c r="A792" s="135"/>
      <c r="I792" s="135"/>
      <c r="J792" s="135"/>
      <c r="K792" s="135"/>
    </row>
    <row r="793" ht="15.75" customHeight="1">
      <c r="A793" s="135"/>
      <c r="I793" s="135"/>
      <c r="J793" s="135"/>
      <c r="K793" s="135"/>
    </row>
    <row r="794" ht="15.75" customHeight="1">
      <c r="A794" s="135"/>
      <c r="I794" s="135"/>
      <c r="J794" s="135"/>
      <c r="K794" s="135"/>
    </row>
    <row r="795" ht="15.75" customHeight="1">
      <c r="A795" s="135"/>
      <c r="I795" s="135"/>
      <c r="J795" s="135"/>
      <c r="K795" s="135"/>
    </row>
    <row r="796" ht="15.75" customHeight="1">
      <c r="A796" s="135"/>
      <c r="I796" s="135"/>
      <c r="J796" s="135"/>
      <c r="K796" s="135"/>
    </row>
    <row r="797" ht="15.75" customHeight="1">
      <c r="A797" s="135"/>
      <c r="I797" s="135"/>
      <c r="J797" s="135"/>
      <c r="K797" s="135"/>
    </row>
    <row r="798" ht="15.75" customHeight="1">
      <c r="A798" s="135"/>
      <c r="I798" s="135"/>
      <c r="J798" s="135"/>
      <c r="K798" s="135"/>
    </row>
    <row r="799" ht="15.75" customHeight="1">
      <c r="A799" s="135"/>
      <c r="I799" s="135"/>
      <c r="J799" s="135"/>
      <c r="K799" s="135"/>
    </row>
    <row r="800" ht="15.75" customHeight="1">
      <c r="A800" s="135"/>
      <c r="I800" s="135"/>
      <c r="J800" s="135"/>
      <c r="K800" s="135"/>
    </row>
    <row r="801" ht="15.75" customHeight="1">
      <c r="A801" s="135"/>
      <c r="I801" s="135"/>
      <c r="J801" s="135"/>
      <c r="K801" s="135"/>
    </row>
    <row r="802" ht="15.75" customHeight="1">
      <c r="A802" s="135"/>
      <c r="I802" s="135"/>
      <c r="J802" s="135"/>
      <c r="K802" s="135"/>
    </row>
    <row r="803" ht="15.75" customHeight="1">
      <c r="A803" s="135"/>
      <c r="I803" s="135"/>
      <c r="J803" s="135"/>
      <c r="K803" s="135"/>
    </row>
    <row r="804" ht="15.75" customHeight="1">
      <c r="A804" s="135"/>
      <c r="I804" s="135"/>
      <c r="J804" s="135"/>
      <c r="K804" s="135"/>
    </row>
    <row r="805" ht="15.75" customHeight="1">
      <c r="A805" s="135"/>
      <c r="I805" s="135"/>
      <c r="J805" s="135"/>
      <c r="K805" s="135"/>
    </row>
    <row r="806" ht="15.75" customHeight="1">
      <c r="A806" s="135"/>
      <c r="I806" s="135"/>
      <c r="J806" s="135"/>
      <c r="K806" s="135"/>
    </row>
    <row r="807" ht="15.75" customHeight="1">
      <c r="A807" s="135"/>
      <c r="I807" s="135"/>
      <c r="J807" s="135"/>
      <c r="K807" s="135"/>
    </row>
    <row r="808" ht="15.75" customHeight="1">
      <c r="A808" s="135"/>
      <c r="I808" s="135"/>
      <c r="J808" s="135"/>
      <c r="K808" s="135"/>
    </row>
    <row r="809" ht="15.75" customHeight="1">
      <c r="A809" s="135"/>
      <c r="I809" s="135"/>
      <c r="J809" s="135"/>
      <c r="K809" s="135"/>
    </row>
    <row r="810" ht="15.75" customHeight="1">
      <c r="A810" s="135"/>
      <c r="I810" s="135"/>
      <c r="J810" s="135"/>
      <c r="K810" s="135"/>
    </row>
    <row r="811" ht="15.75" customHeight="1">
      <c r="A811" s="135"/>
      <c r="I811" s="135"/>
      <c r="J811" s="135"/>
      <c r="K811" s="135"/>
    </row>
    <row r="812" ht="15.75" customHeight="1">
      <c r="A812" s="135"/>
      <c r="I812" s="135"/>
      <c r="J812" s="135"/>
      <c r="K812" s="135"/>
    </row>
    <row r="813" ht="15.75" customHeight="1">
      <c r="A813" s="135"/>
      <c r="I813" s="135"/>
      <c r="J813" s="135"/>
      <c r="K813" s="135"/>
    </row>
    <row r="814" ht="15.75" customHeight="1">
      <c r="A814" s="135"/>
      <c r="I814" s="135"/>
      <c r="J814" s="135"/>
      <c r="K814" s="135"/>
    </row>
    <row r="815" ht="15.75" customHeight="1">
      <c r="A815" s="135"/>
      <c r="I815" s="135"/>
      <c r="J815" s="135"/>
      <c r="K815" s="135"/>
    </row>
    <row r="816" ht="15.75" customHeight="1">
      <c r="A816" s="135"/>
      <c r="I816" s="135"/>
      <c r="J816" s="135"/>
      <c r="K816" s="135"/>
    </row>
    <row r="817" ht="15.75" customHeight="1">
      <c r="A817" s="135"/>
      <c r="I817" s="135"/>
      <c r="J817" s="135"/>
      <c r="K817" s="135"/>
    </row>
    <row r="818" ht="15.75" customHeight="1">
      <c r="A818" s="135"/>
      <c r="I818" s="135"/>
      <c r="J818" s="135"/>
      <c r="K818" s="135"/>
    </row>
    <row r="819" ht="15.75" customHeight="1">
      <c r="A819" s="135"/>
      <c r="I819" s="135"/>
      <c r="J819" s="135"/>
      <c r="K819" s="135"/>
    </row>
    <row r="820" ht="15.75" customHeight="1">
      <c r="A820" s="135"/>
      <c r="I820" s="135"/>
      <c r="J820" s="135"/>
      <c r="K820" s="135"/>
    </row>
    <row r="821" ht="15.75" customHeight="1">
      <c r="A821" s="135"/>
      <c r="I821" s="135"/>
      <c r="J821" s="135"/>
      <c r="K821" s="135"/>
    </row>
    <row r="822" ht="15.75" customHeight="1">
      <c r="A822" s="135"/>
      <c r="I822" s="135"/>
      <c r="J822" s="135"/>
      <c r="K822" s="135"/>
    </row>
    <row r="823" ht="15.75" customHeight="1">
      <c r="A823" s="135"/>
      <c r="I823" s="135"/>
      <c r="J823" s="135"/>
      <c r="K823" s="135"/>
    </row>
    <row r="824" ht="15.75" customHeight="1">
      <c r="A824" s="135"/>
      <c r="I824" s="135"/>
      <c r="J824" s="135"/>
      <c r="K824" s="135"/>
    </row>
    <row r="825" ht="15.75" customHeight="1">
      <c r="A825" s="135"/>
      <c r="I825" s="135"/>
      <c r="J825" s="135"/>
      <c r="K825" s="135"/>
    </row>
    <row r="826" ht="15.75" customHeight="1">
      <c r="A826" s="135"/>
      <c r="I826" s="135"/>
      <c r="J826" s="135"/>
      <c r="K826" s="135"/>
    </row>
    <row r="827" ht="15.75" customHeight="1">
      <c r="A827" s="135"/>
      <c r="I827" s="135"/>
      <c r="J827" s="135"/>
      <c r="K827" s="135"/>
    </row>
    <row r="828" ht="15.75" customHeight="1">
      <c r="A828" s="135"/>
      <c r="I828" s="135"/>
      <c r="J828" s="135"/>
      <c r="K828" s="135"/>
    </row>
    <row r="829" ht="15.75" customHeight="1">
      <c r="A829" s="135"/>
      <c r="I829" s="135"/>
      <c r="J829" s="135"/>
      <c r="K829" s="135"/>
    </row>
    <row r="830" ht="15.75" customHeight="1">
      <c r="A830" s="135"/>
      <c r="I830" s="135"/>
      <c r="J830" s="135"/>
      <c r="K830" s="135"/>
    </row>
    <row r="831" ht="15.75" customHeight="1">
      <c r="A831" s="135"/>
      <c r="I831" s="135"/>
      <c r="J831" s="135"/>
      <c r="K831" s="135"/>
    </row>
    <row r="832" ht="15.75" customHeight="1">
      <c r="A832" s="135"/>
      <c r="I832" s="135"/>
      <c r="J832" s="135"/>
      <c r="K832" s="135"/>
    </row>
    <row r="833" ht="15.75" customHeight="1">
      <c r="A833" s="135"/>
      <c r="I833" s="135"/>
      <c r="J833" s="135"/>
      <c r="K833" s="135"/>
    </row>
    <row r="834" ht="15.75" customHeight="1">
      <c r="A834" s="135"/>
      <c r="I834" s="135"/>
      <c r="J834" s="135"/>
      <c r="K834" s="135"/>
    </row>
    <row r="835" ht="15.75" customHeight="1">
      <c r="A835" s="135"/>
      <c r="I835" s="135"/>
      <c r="J835" s="135"/>
      <c r="K835" s="135"/>
    </row>
    <row r="836" ht="15.75" customHeight="1">
      <c r="A836" s="135"/>
      <c r="I836" s="135"/>
      <c r="J836" s="135"/>
      <c r="K836" s="135"/>
    </row>
    <row r="837" ht="15.75" customHeight="1">
      <c r="A837" s="135"/>
      <c r="I837" s="135"/>
      <c r="J837" s="135"/>
      <c r="K837" s="135"/>
    </row>
    <row r="838" ht="15.75" customHeight="1">
      <c r="A838" s="135"/>
      <c r="I838" s="135"/>
      <c r="J838" s="135"/>
      <c r="K838" s="135"/>
    </row>
    <row r="839" ht="15.75" customHeight="1">
      <c r="A839" s="135"/>
      <c r="I839" s="135"/>
      <c r="J839" s="135"/>
      <c r="K839" s="135"/>
    </row>
    <row r="840" ht="15.75" customHeight="1">
      <c r="A840" s="135"/>
      <c r="I840" s="135"/>
      <c r="J840" s="135"/>
      <c r="K840" s="135"/>
    </row>
    <row r="841" ht="15.75" customHeight="1">
      <c r="A841" s="135"/>
      <c r="I841" s="135"/>
      <c r="J841" s="135"/>
      <c r="K841" s="135"/>
    </row>
    <row r="842" ht="15.75" customHeight="1">
      <c r="A842" s="135"/>
      <c r="I842" s="135"/>
      <c r="J842" s="135"/>
      <c r="K842" s="135"/>
    </row>
    <row r="843" ht="15.75" customHeight="1">
      <c r="A843" s="135"/>
      <c r="I843" s="135"/>
      <c r="J843" s="135"/>
      <c r="K843" s="135"/>
    </row>
    <row r="844" ht="15.75" customHeight="1">
      <c r="A844" s="135"/>
      <c r="I844" s="135"/>
      <c r="J844" s="135"/>
      <c r="K844" s="135"/>
    </row>
    <row r="845" ht="15.75" customHeight="1">
      <c r="A845" s="135"/>
      <c r="I845" s="135"/>
      <c r="J845" s="135"/>
      <c r="K845" s="135"/>
    </row>
    <row r="846" ht="15.75" customHeight="1">
      <c r="A846" s="135"/>
      <c r="I846" s="135"/>
      <c r="J846" s="135"/>
      <c r="K846" s="135"/>
    </row>
    <row r="847" ht="15.75" customHeight="1">
      <c r="A847" s="135"/>
      <c r="I847" s="135"/>
      <c r="J847" s="135"/>
      <c r="K847" s="135"/>
    </row>
    <row r="848" ht="15.75" customHeight="1">
      <c r="A848" s="135"/>
      <c r="I848" s="135"/>
      <c r="J848" s="135"/>
      <c r="K848" s="135"/>
    </row>
    <row r="849" ht="15.75" customHeight="1">
      <c r="A849" s="135"/>
      <c r="I849" s="135"/>
      <c r="J849" s="135"/>
      <c r="K849" s="135"/>
    </row>
    <row r="850" ht="15.75" customHeight="1">
      <c r="A850" s="135"/>
      <c r="I850" s="135"/>
      <c r="J850" s="135"/>
      <c r="K850" s="135"/>
    </row>
    <row r="851" ht="15.75" customHeight="1">
      <c r="A851" s="135"/>
      <c r="I851" s="135"/>
      <c r="J851" s="135"/>
      <c r="K851" s="135"/>
    </row>
    <row r="852" ht="15.75" customHeight="1">
      <c r="A852" s="135"/>
      <c r="I852" s="135"/>
      <c r="J852" s="135"/>
      <c r="K852" s="135"/>
    </row>
    <row r="853" ht="15.75" customHeight="1">
      <c r="A853" s="135"/>
      <c r="I853" s="135"/>
      <c r="J853" s="135"/>
      <c r="K853" s="135"/>
    </row>
    <row r="854" ht="15.75" customHeight="1">
      <c r="A854" s="135"/>
      <c r="I854" s="135"/>
      <c r="J854" s="135"/>
      <c r="K854" s="135"/>
    </row>
    <row r="855" ht="15.75" customHeight="1">
      <c r="A855" s="135"/>
      <c r="I855" s="135"/>
      <c r="J855" s="135"/>
      <c r="K855" s="135"/>
    </row>
    <row r="856" ht="15.75" customHeight="1">
      <c r="A856" s="135"/>
      <c r="I856" s="135"/>
      <c r="J856" s="135"/>
      <c r="K856" s="135"/>
    </row>
    <row r="857" ht="15.75" customHeight="1">
      <c r="A857" s="135"/>
      <c r="I857" s="135"/>
      <c r="J857" s="135"/>
      <c r="K857" s="135"/>
    </row>
    <row r="858" ht="15.75" customHeight="1">
      <c r="A858" s="135"/>
      <c r="I858" s="135"/>
      <c r="J858" s="135"/>
      <c r="K858" s="135"/>
    </row>
    <row r="859" ht="15.75" customHeight="1">
      <c r="A859" s="135"/>
      <c r="I859" s="135"/>
      <c r="J859" s="135"/>
      <c r="K859" s="135"/>
    </row>
    <row r="860" ht="15.75" customHeight="1">
      <c r="A860" s="135"/>
      <c r="I860" s="135"/>
      <c r="J860" s="135"/>
      <c r="K860" s="135"/>
    </row>
    <row r="861" ht="15.75" customHeight="1">
      <c r="A861" s="135"/>
      <c r="I861" s="135"/>
      <c r="J861" s="135"/>
      <c r="K861" s="135"/>
    </row>
    <row r="862" ht="15.75" customHeight="1">
      <c r="A862" s="135"/>
      <c r="I862" s="135"/>
      <c r="J862" s="135"/>
      <c r="K862" s="135"/>
    </row>
    <row r="863" ht="15.75" customHeight="1">
      <c r="A863" s="135"/>
      <c r="I863" s="135"/>
      <c r="J863" s="135"/>
      <c r="K863" s="135"/>
    </row>
    <row r="864" ht="15.75" customHeight="1">
      <c r="A864" s="135"/>
      <c r="I864" s="135"/>
      <c r="J864" s="135"/>
      <c r="K864" s="135"/>
    </row>
    <row r="865" ht="15.75" customHeight="1">
      <c r="A865" s="135"/>
      <c r="I865" s="135"/>
      <c r="J865" s="135"/>
      <c r="K865" s="135"/>
    </row>
    <row r="866" ht="15.75" customHeight="1">
      <c r="A866" s="135"/>
      <c r="I866" s="135"/>
      <c r="J866" s="135"/>
      <c r="K866" s="135"/>
    </row>
    <row r="867" ht="15.75" customHeight="1">
      <c r="A867" s="135"/>
      <c r="I867" s="135"/>
      <c r="J867" s="135"/>
      <c r="K867" s="135"/>
    </row>
    <row r="868" ht="15.75" customHeight="1">
      <c r="A868" s="135"/>
      <c r="I868" s="135"/>
      <c r="J868" s="135"/>
      <c r="K868" s="135"/>
    </row>
    <row r="869" ht="15.75" customHeight="1">
      <c r="A869" s="135"/>
      <c r="I869" s="135"/>
      <c r="J869" s="135"/>
      <c r="K869" s="135"/>
    </row>
    <row r="870" ht="15.75" customHeight="1">
      <c r="A870" s="135"/>
      <c r="I870" s="135"/>
      <c r="J870" s="135"/>
      <c r="K870" s="135"/>
    </row>
    <row r="871" ht="15.75" customHeight="1">
      <c r="A871" s="135"/>
      <c r="I871" s="135"/>
      <c r="J871" s="135"/>
      <c r="K871" s="135"/>
    </row>
    <row r="872" ht="15.75" customHeight="1">
      <c r="A872" s="135"/>
      <c r="I872" s="135"/>
      <c r="J872" s="135"/>
      <c r="K872" s="135"/>
    </row>
    <row r="873" ht="15.75" customHeight="1">
      <c r="A873" s="135"/>
      <c r="I873" s="135"/>
      <c r="J873" s="135"/>
      <c r="K873" s="135"/>
    </row>
    <row r="874" ht="15.75" customHeight="1">
      <c r="A874" s="135"/>
      <c r="I874" s="135"/>
      <c r="J874" s="135"/>
      <c r="K874" s="135"/>
    </row>
    <row r="875" ht="15.75" customHeight="1">
      <c r="A875" s="135"/>
      <c r="I875" s="135"/>
      <c r="J875" s="135"/>
      <c r="K875" s="135"/>
    </row>
    <row r="876" ht="15.75" customHeight="1">
      <c r="A876" s="135"/>
      <c r="I876" s="135"/>
      <c r="J876" s="135"/>
      <c r="K876" s="135"/>
    </row>
    <row r="877" ht="15.75" customHeight="1">
      <c r="A877" s="135"/>
      <c r="I877" s="135"/>
      <c r="J877" s="135"/>
      <c r="K877" s="135"/>
    </row>
    <row r="878" ht="15.75" customHeight="1">
      <c r="A878" s="135"/>
      <c r="I878" s="135"/>
      <c r="J878" s="135"/>
      <c r="K878" s="135"/>
    </row>
    <row r="879" ht="15.75" customHeight="1">
      <c r="A879" s="135"/>
      <c r="I879" s="135"/>
      <c r="J879" s="135"/>
      <c r="K879" s="135"/>
    </row>
    <row r="880" ht="15.75" customHeight="1">
      <c r="A880" s="135"/>
      <c r="I880" s="135"/>
      <c r="J880" s="135"/>
      <c r="K880" s="135"/>
    </row>
    <row r="881" ht="15.75" customHeight="1">
      <c r="A881" s="135"/>
      <c r="I881" s="135"/>
      <c r="J881" s="135"/>
      <c r="K881" s="135"/>
    </row>
    <row r="882" ht="15.75" customHeight="1">
      <c r="A882" s="135"/>
      <c r="I882" s="135"/>
      <c r="J882" s="135"/>
      <c r="K882" s="135"/>
    </row>
    <row r="883" ht="15.75" customHeight="1">
      <c r="A883" s="135"/>
      <c r="I883" s="135"/>
      <c r="J883" s="135"/>
      <c r="K883" s="135"/>
    </row>
    <row r="884" ht="15.75" customHeight="1">
      <c r="A884" s="135"/>
      <c r="I884" s="135"/>
      <c r="J884" s="135"/>
      <c r="K884" s="135"/>
    </row>
    <row r="885" ht="15.75" customHeight="1">
      <c r="A885" s="135"/>
      <c r="I885" s="135"/>
      <c r="J885" s="135"/>
      <c r="K885" s="135"/>
    </row>
    <row r="886" ht="15.75" customHeight="1">
      <c r="A886" s="135"/>
      <c r="I886" s="135"/>
      <c r="J886" s="135"/>
      <c r="K886" s="135"/>
    </row>
    <row r="887" ht="15.75" customHeight="1">
      <c r="A887" s="135"/>
      <c r="I887" s="135"/>
      <c r="J887" s="135"/>
      <c r="K887" s="135"/>
    </row>
    <row r="888" ht="15.75" customHeight="1">
      <c r="A888" s="135"/>
      <c r="I888" s="135"/>
      <c r="J888" s="135"/>
      <c r="K888" s="135"/>
    </row>
    <row r="889" ht="15.75" customHeight="1">
      <c r="A889" s="135"/>
      <c r="I889" s="135"/>
      <c r="J889" s="135"/>
      <c r="K889" s="135"/>
    </row>
    <row r="890" ht="15.75" customHeight="1">
      <c r="A890" s="135"/>
      <c r="I890" s="135"/>
      <c r="J890" s="135"/>
      <c r="K890" s="135"/>
    </row>
    <row r="891" ht="15.75" customHeight="1">
      <c r="A891" s="135"/>
      <c r="I891" s="135"/>
      <c r="J891" s="135"/>
      <c r="K891" s="135"/>
    </row>
    <row r="892" ht="15.75" customHeight="1">
      <c r="A892" s="135"/>
      <c r="I892" s="135"/>
      <c r="J892" s="135"/>
      <c r="K892" s="135"/>
    </row>
    <row r="893" ht="15.75" customHeight="1">
      <c r="A893" s="135"/>
      <c r="I893" s="135"/>
      <c r="J893" s="135"/>
      <c r="K893" s="135"/>
    </row>
    <row r="894" ht="15.75" customHeight="1">
      <c r="A894" s="135"/>
      <c r="I894" s="135"/>
      <c r="J894" s="135"/>
      <c r="K894" s="135"/>
    </row>
    <row r="895" ht="15.75" customHeight="1">
      <c r="A895" s="135"/>
      <c r="I895" s="135"/>
      <c r="J895" s="135"/>
      <c r="K895" s="135"/>
    </row>
    <row r="896" ht="15.75" customHeight="1">
      <c r="A896" s="135"/>
      <c r="I896" s="135"/>
      <c r="J896" s="135"/>
      <c r="K896" s="135"/>
    </row>
    <row r="897" ht="15.75" customHeight="1">
      <c r="A897" s="135"/>
      <c r="I897" s="135"/>
      <c r="J897" s="135"/>
      <c r="K897" s="135"/>
    </row>
    <row r="898" ht="15.75" customHeight="1">
      <c r="A898" s="135"/>
      <c r="I898" s="135"/>
      <c r="J898" s="135"/>
      <c r="K898" s="135"/>
    </row>
    <row r="899" ht="15.75" customHeight="1">
      <c r="A899" s="135"/>
      <c r="I899" s="135"/>
      <c r="J899" s="135"/>
      <c r="K899" s="135"/>
    </row>
    <row r="900" ht="15.75" customHeight="1">
      <c r="A900" s="135"/>
      <c r="I900" s="135"/>
      <c r="J900" s="135"/>
      <c r="K900" s="135"/>
    </row>
    <row r="901" ht="15.75" customHeight="1">
      <c r="A901" s="135"/>
      <c r="I901" s="135"/>
      <c r="J901" s="135"/>
      <c r="K901" s="135"/>
    </row>
    <row r="902" ht="15.75" customHeight="1">
      <c r="A902" s="135"/>
      <c r="I902" s="135"/>
      <c r="J902" s="135"/>
      <c r="K902" s="135"/>
    </row>
    <row r="903" ht="15.75" customHeight="1">
      <c r="A903" s="135"/>
      <c r="I903" s="135"/>
      <c r="J903" s="135"/>
      <c r="K903" s="135"/>
    </row>
    <row r="904" ht="15.75" customHeight="1">
      <c r="A904" s="135"/>
      <c r="I904" s="135"/>
      <c r="J904" s="135"/>
      <c r="K904" s="135"/>
    </row>
    <row r="905" ht="15.75" customHeight="1">
      <c r="A905" s="135"/>
      <c r="I905" s="135"/>
      <c r="J905" s="135"/>
      <c r="K905" s="135"/>
    </row>
    <row r="906" ht="15.75" customHeight="1">
      <c r="A906" s="135"/>
      <c r="I906" s="135"/>
      <c r="J906" s="135"/>
      <c r="K906" s="135"/>
    </row>
    <row r="907" ht="15.75" customHeight="1">
      <c r="A907" s="135"/>
      <c r="I907" s="135"/>
      <c r="J907" s="135"/>
      <c r="K907" s="135"/>
    </row>
    <row r="908" ht="15.75" customHeight="1">
      <c r="A908" s="135"/>
      <c r="I908" s="135"/>
      <c r="J908" s="135"/>
      <c r="K908" s="135"/>
    </row>
    <row r="909" ht="15.75" customHeight="1">
      <c r="A909" s="135"/>
      <c r="I909" s="135"/>
      <c r="J909" s="135"/>
      <c r="K909" s="135"/>
    </row>
    <row r="910" ht="15.75" customHeight="1">
      <c r="A910" s="135"/>
      <c r="I910" s="135"/>
      <c r="J910" s="135"/>
      <c r="K910" s="135"/>
    </row>
    <row r="911" ht="15.75" customHeight="1">
      <c r="A911" s="135"/>
      <c r="I911" s="135"/>
      <c r="J911" s="135"/>
      <c r="K911" s="135"/>
    </row>
    <row r="912" ht="15.75" customHeight="1">
      <c r="A912" s="135"/>
      <c r="I912" s="135"/>
      <c r="J912" s="135"/>
      <c r="K912" s="135"/>
    </row>
    <row r="913" ht="15.75" customHeight="1">
      <c r="A913" s="135"/>
      <c r="I913" s="135"/>
      <c r="J913" s="135"/>
      <c r="K913" s="135"/>
    </row>
    <row r="914" ht="15.75" customHeight="1">
      <c r="A914" s="135"/>
      <c r="I914" s="135"/>
      <c r="J914" s="135"/>
      <c r="K914" s="135"/>
    </row>
    <row r="915" ht="15.75" customHeight="1">
      <c r="A915" s="135"/>
      <c r="I915" s="135"/>
      <c r="J915" s="135"/>
      <c r="K915" s="135"/>
    </row>
    <row r="916" ht="15.75" customHeight="1">
      <c r="A916" s="135"/>
      <c r="I916" s="135"/>
      <c r="J916" s="135"/>
      <c r="K916" s="135"/>
    </row>
    <row r="917" ht="15.75" customHeight="1">
      <c r="A917" s="135"/>
      <c r="I917" s="135"/>
      <c r="J917" s="135"/>
      <c r="K917" s="135"/>
    </row>
    <row r="918" ht="15.75" customHeight="1">
      <c r="A918" s="135"/>
      <c r="I918" s="135"/>
      <c r="J918" s="135"/>
      <c r="K918" s="135"/>
    </row>
    <row r="919" ht="15.75" customHeight="1">
      <c r="A919" s="135"/>
      <c r="I919" s="135"/>
      <c r="J919" s="135"/>
      <c r="K919" s="135"/>
    </row>
    <row r="920" ht="15.75" customHeight="1">
      <c r="A920" s="135"/>
      <c r="I920" s="135"/>
      <c r="J920" s="135"/>
      <c r="K920" s="135"/>
    </row>
    <row r="921" ht="15.75" customHeight="1">
      <c r="A921" s="135"/>
      <c r="I921" s="135"/>
      <c r="J921" s="135"/>
      <c r="K921" s="135"/>
    </row>
    <row r="922" ht="15.75" customHeight="1">
      <c r="A922" s="135"/>
      <c r="I922" s="135"/>
      <c r="J922" s="135"/>
      <c r="K922" s="135"/>
    </row>
    <row r="923" ht="15.75" customHeight="1">
      <c r="A923" s="135"/>
      <c r="I923" s="135"/>
      <c r="J923" s="135"/>
      <c r="K923" s="135"/>
    </row>
    <row r="924" ht="15.75" customHeight="1">
      <c r="A924" s="135"/>
      <c r="I924" s="135"/>
      <c r="J924" s="135"/>
      <c r="K924" s="135"/>
    </row>
    <row r="925" ht="15.75" customHeight="1">
      <c r="A925" s="135"/>
      <c r="I925" s="135"/>
      <c r="J925" s="135"/>
      <c r="K925" s="135"/>
    </row>
    <row r="926" ht="15.75" customHeight="1">
      <c r="A926" s="135"/>
      <c r="I926" s="135"/>
      <c r="J926" s="135"/>
      <c r="K926" s="135"/>
    </row>
    <row r="927" ht="15.75" customHeight="1">
      <c r="A927" s="135"/>
      <c r="I927" s="135"/>
      <c r="J927" s="135"/>
      <c r="K927" s="135"/>
    </row>
    <row r="928" ht="15.75" customHeight="1">
      <c r="A928" s="135"/>
      <c r="I928" s="135"/>
      <c r="J928" s="135"/>
      <c r="K928" s="135"/>
    </row>
    <row r="929" ht="15.75" customHeight="1">
      <c r="A929" s="135"/>
      <c r="I929" s="135"/>
      <c r="J929" s="135"/>
      <c r="K929" s="135"/>
    </row>
    <row r="930" ht="15.75" customHeight="1">
      <c r="A930" s="135"/>
      <c r="I930" s="135"/>
      <c r="J930" s="135"/>
      <c r="K930" s="135"/>
    </row>
    <row r="931" ht="15.75" customHeight="1">
      <c r="A931" s="135"/>
      <c r="I931" s="135"/>
      <c r="J931" s="135"/>
      <c r="K931" s="135"/>
    </row>
    <row r="932" ht="15.75" customHeight="1">
      <c r="A932" s="135"/>
      <c r="I932" s="135"/>
      <c r="J932" s="135"/>
      <c r="K932" s="135"/>
    </row>
    <row r="933" ht="15.75" customHeight="1">
      <c r="A933" s="135"/>
      <c r="I933" s="135"/>
      <c r="J933" s="135"/>
      <c r="K933" s="135"/>
    </row>
    <row r="934" ht="15.75" customHeight="1">
      <c r="A934" s="135"/>
      <c r="I934" s="135"/>
      <c r="J934" s="135"/>
      <c r="K934" s="135"/>
    </row>
    <row r="935" ht="15.75" customHeight="1">
      <c r="A935" s="135"/>
      <c r="I935" s="135"/>
      <c r="J935" s="135"/>
      <c r="K935" s="135"/>
    </row>
    <row r="936" ht="15.75" customHeight="1">
      <c r="A936" s="135"/>
      <c r="I936" s="135"/>
      <c r="J936" s="135"/>
      <c r="K936" s="135"/>
    </row>
    <row r="937" ht="15.75" customHeight="1">
      <c r="A937" s="135"/>
      <c r="I937" s="135"/>
      <c r="J937" s="135"/>
      <c r="K937" s="135"/>
    </row>
    <row r="938" ht="15.75" customHeight="1">
      <c r="A938" s="135"/>
      <c r="I938" s="135"/>
      <c r="J938" s="135"/>
      <c r="K938" s="135"/>
    </row>
    <row r="939" ht="15.75" customHeight="1">
      <c r="A939" s="135"/>
      <c r="I939" s="135"/>
      <c r="J939" s="135"/>
      <c r="K939" s="135"/>
    </row>
    <row r="940" ht="15.75" customHeight="1">
      <c r="A940" s="135"/>
      <c r="I940" s="135"/>
      <c r="J940" s="135"/>
      <c r="K940" s="135"/>
    </row>
    <row r="941" ht="15.75" customHeight="1">
      <c r="A941" s="135"/>
      <c r="I941" s="135"/>
      <c r="J941" s="135"/>
      <c r="K941" s="135"/>
    </row>
    <row r="942" ht="15.75" customHeight="1">
      <c r="A942" s="135"/>
      <c r="I942" s="135"/>
      <c r="J942" s="135"/>
      <c r="K942" s="135"/>
    </row>
    <row r="943" ht="15.75" customHeight="1">
      <c r="A943" s="135"/>
      <c r="I943" s="135"/>
      <c r="J943" s="135"/>
      <c r="K943" s="135"/>
    </row>
    <row r="944" ht="15.75" customHeight="1">
      <c r="A944" s="135"/>
      <c r="I944" s="135"/>
      <c r="J944" s="135"/>
      <c r="K944" s="135"/>
    </row>
    <row r="945" ht="15.75" customHeight="1">
      <c r="A945" s="135"/>
      <c r="I945" s="135"/>
      <c r="J945" s="135"/>
      <c r="K945" s="135"/>
    </row>
    <row r="946" ht="15.75" customHeight="1">
      <c r="A946" s="135"/>
      <c r="I946" s="135"/>
      <c r="J946" s="135"/>
      <c r="K946" s="135"/>
    </row>
    <row r="947" ht="15.75" customHeight="1">
      <c r="A947" s="135"/>
      <c r="I947" s="135"/>
      <c r="J947" s="135"/>
      <c r="K947" s="135"/>
    </row>
    <row r="948" ht="15.75" customHeight="1">
      <c r="A948" s="135"/>
      <c r="I948" s="135"/>
      <c r="J948" s="135"/>
      <c r="K948" s="135"/>
    </row>
    <row r="949" ht="15.75" customHeight="1">
      <c r="A949" s="135"/>
      <c r="I949" s="135"/>
      <c r="J949" s="135"/>
      <c r="K949" s="135"/>
    </row>
    <row r="950" ht="15.75" customHeight="1">
      <c r="A950" s="135"/>
      <c r="I950" s="135"/>
      <c r="J950" s="135"/>
      <c r="K950" s="135"/>
    </row>
    <row r="951" ht="15.75" customHeight="1">
      <c r="A951" s="135"/>
      <c r="I951" s="135"/>
      <c r="J951" s="135"/>
      <c r="K951" s="135"/>
    </row>
    <row r="952" ht="15.75" customHeight="1">
      <c r="A952" s="135"/>
      <c r="I952" s="135"/>
      <c r="J952" s="135"/>
      <c r="K952" s="135"/>
    </row>
    <row r="953" ht="15.75" customHeight="1">
      <c r="A953" s="135"/>
      <c r="I953" s="135"/>
      <c r="J953" s="135"/>
      <c r="K953" s="135"/>
    </row>
    <row r="954" ht="15.75" customHeight="1">
      <c r="A954" s="135"/>
      <c r="I954" s="135"/>
      <c r="J954" s="135"/>
      <c r="K954" s="135"/>
    </row>
    <row r="955" ht="15.75" customHeight="1">
      <c r="A955" s="135"/>
      <c r="I955" s="135"/>
      <c r="J955" s="135"/>
      <c r="K955" s="135"/>
    </row>
    <row r="956" ht="15.75" customHeight="1">
      <c r="A956" s="135"/>
      <c r="I956" s="135"/>
      <c r="J956" s="135"/>
      <c r="K956" s="135"/>
    </row>
    <row r="957" ht="15.75" customHeight="1">
      <c r="A957" s="135"/>
      <c r="I957" s="135"/>
      <c r="J957" s="135"/>
      <c r="K957" s="135"/>
    </row>
    <row r="958" ht="15.75" customHeight="1">
      <c r="A958" s="135"/>
      <c r="I958" s="135"/>
      <c r="J958" s="135"/>
      <c r="K958" s="135"/>
    </row>
    <row r="959" ht="15.75" customHeight="1">
      <c r="A959" s="135"/>
      <c r="I959" s="135"/>
      <c r="J959" s="135"/>
      <c r="K959" s="135"/>
    </row>
    <row r="960" ht="15.75" customHeight="1">
      <c r="A960" s="135"/>
      <c r="I960" s="135"/>
      <c r="J960" s="135"/>
      <c r="K960" s="135"/>
    </row>
    <row r="961" ht="15.75" customHeight="1">
      <c r="A961" s="135"/>
      <c r="I961" s="135"/>
      <c r="J961" s="135"/>
      <c r="K961" s="135"/>
    </row>
    <row r="962" ht="15.75" customHeight="1">
      <c r="A962" s="135"/>
      <c r="I962" s="135"/>
      <c r="J962" s="135"/>
      <c r="K962" s="135"/>
    </row>
    <row r="963" ht="15.75" customHeight="1">
      <c r="A963" s="135"/>
      <c r="I963" s="135"/>
      <c r="J963" s="135"/>
      <c r="K963" s="135"/>
    </row>
    <row r="964" ht="15.75" customHeight="1">
      <c r="A964" s="135"/>
      <c r="I964" s="135"/>
      <c r="J964" s="135"/>
      <c r="K964" s="135"/>
    </row>
    <row r="965" ht="15.75" customHeight="1">
      <c r="A965" s="135"/>
      <c r="I965" s="135"/>
      <c r="J965" s="135"/>
      <c r="K965" s="135"/>
    </row>
    <row r="966" ht="15.75" customHeight="1">
      <c r="A966" s="135"/>
      <c r="I966" s="135"/>
      <c r="J966" s="135"/>
      <c r="K966" s="135"/>
    </row>
    <row r="967" ht="15.75" customHeight="1">
      <c r="A967" s="135"/>
      <c r="I967" s="135"/>
      <c r="J967" s="135"/>
      <c r="K967" s="135"/>
    </row>
    <row r="968" ht="15.75" customHeight="1">
      <c r="A968" s="135"/>
      <c r="I968" s="135"/>
      <c r="J968" s="135"/>
      <c r="K968" s="135"/>
    </row>
    <row r="969" ht="15.75" customHeight="1">
      <c r="A969" s="135"/>
      <c r="I969" s="135"/>
      <c r="J969" s="135"/>
      <c r="K969" s="135"/>
    </row>
    <row r="970" ht="15.75" customHeight="1">
      <c r="A970" s="135"/>
      <c r="I970" s="135"/>
      <c r="J970" s="135"/>
      <c r="K970" s="135"/>
    </row>
    <row r="971" ht="15.75" customHeight="1">
      <c r="A971" s="135"/>
      <c r="I971" s="135"/>
      <c r="J971" s="135"/>
      <c r="K971" s="135"/>
    </row>
    <row r="972" ht="15.75" customHeight="1">
      <c r="A972" s="135"/>
      <c r="I972" s="135"/>
      <c r="J972" s="135"/>
      <c r="K972" s="135"/>
    </row>
    <row r="973" ht="15.75" customHeight="1">
      <c r="A973" s="135"/>
      <c r="I973" s="135"/>
      <c r="J973" s="135"/>
      <c r="K973" s="135"/>
    </row>
    <row r="974" ht="15.75" customHeight="1">
      <c r="A974" s="135"/>
      <c r="I974" s="135"/>
      <c r="J974" s="135"/>
      <c r="K974" s="135"/>
    </row>
    <row r="975" ht="15.75" customHeight="1">
      <c r="A975" s="135"/>
      <c r="I975" s="135"/>
      <c r="J975" s="135"/>
      <c r="K975" s="135"/>
    </row>
    <row r="976" ht="15.75" customHeight="1">
      <c r="A976" s="135"/>
      <c r="I976" s="135"/>
      <c r="J976" s="135"/>
      <c r="K976" s="135"/>
    </row>
    <row r="977" ht="15.75" customHeight="1">
      <c r="A977" s="135"/>
      <c r="I977" s="135"/>
      <c r="J977" s="135"/>
      <c r="K977" s="135"/>
    </row>
    <row r="978" ht="15.75" customHeight="1">
      <c r="A978" s="135"/>
      <c r="I978" s="135"/>
      <c r="J978" s="135"/>
      <c r="K978" s="135"/>
    </row>
    <row r="979" ht="15.75" customHeight="1">
      <c r="A979" s="135"/>
      <c r="I979" s="135"/>
      <c r="J979" s="135"/>
      <c r="K979" s="135"/>
    </row>
  </sheetData>
  <autoFilter ref="$A$2:$L$2">
    <sortState ref="A2:L2">
      <sortCondition ref="B2"/>
    </sortState>
  </autoFilter>
  <mergeCells count="5">
    <mergeCell ref="A1:L1"/>
    <mergeCell ref="A3:L3"/>
    <mergeCell ref="A227:L227"/>
    <mergeCell ref="A245:L245"/>
    <mergeCell ref="A263:L263"/>
  </mergeCells>
  <dataValidations>
    <dataValidation type="list" allowBlank="1" sqref="J143:K226 J228:K244 J246:K262 J264:K979">
      <formula1>"active,deprecated,unreleased"</formula1>
    </dataValidation>
    <dataValidation type="list" allowBlank="1" sqref="I143:I226 I281:I979">
      <formula1>"Common,Rare,Epic,Legendary"</formula1>
    </dataValidation>
    <dataValidation type="list" allowBlank="1" sqref="A3:A979">
      <formula1>"HN,DN,NT,HCM,PQ"</formula1>
    </dataValidation>
    <dataValidation type="list" allowBlank="1" showErrorMessage="1" sqref="I228:I244 I246:I262 I264:I280">
      <formula1>"Common,UnCommon,Rare"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D5656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4.0"/>
    <col customWidth="1" min="3" max="3" width="26.14"/>
    <col customWidth="1" min="4" max="4" width="20.0"/>
    <col customWidth="1" min="5" max="5" width="48.57"/>
    <col customWidth="1" min="6" max="6" width="22.86"/>
    <col customWidth="1" min="7" max="24" width="8.71"/>
  </cols>
  <sheetData>
    <row r="1" ht="27.75" customHeight="1">
      <c r="A1" s="229" t="s">
        <v>725</v>
      </c>
      <c r="B1" s="229" t="s">
        <v>726</v>
      </c>
      <c r="C1" s="229" t="s">
        <v>727</v>
      </c>
      <c r="D1" s="229" t="s">
        <v>728</v>
      </c>
      <c r="E1" s="229" t="s">
        <v>729</v>
      </c>
      <c r="F1" s="229" t="s">
        <v>730</v>
      </c>
    </row>
    <row r="2">
      <c r="A2" s="230" t="s">
        <v>731</v>
      </c>
      <c r="B2" s="230" t="s">
        <v>732</v>
      </c>
      <c r="C2" s="231" t="s">
        <v>733</v>
      </c>
      <c r="D2" s="230" t="s">
        <v>734</v>
      </c>
      <c r="E2" s="230" t="s">
        <v>735</v>
      </c>
      <c r="F2" s="232" t="s">
        <v>736</v>
      </c>
    </row>
    <row r="3">
      <c r="A3" s="233">
        <v>46111.0</v>
      </c>
      <c r="B3" s="230" t="s">
        <v>732</v>
      </c>
      <c r="C3" s="231" t="s">
        <v>737</v>
      </c>
      <c r="D3" s="135" t="s">
        <v>734</v>
      </c>
      <c r="E3" s="135" t="s">
        <v>738</v>
      </c>
      <c r="F3" s="232" t="s">
        <v>736</v>
      </c>
    </row>
    <row r="4">
      <c r="A4" s="234">
        <v>46113.0</v>
      </c>
      <c r="B4" s="92" t="s">
        <v>732</v>
      </c>
      <c r="C4" s="235" t="s">
        <v>737</v>
      </c>
      <c r="D4" s="235" t="s">
        <v>734</v>
      </c>
      <c r="E4" s="92" t="s">
        <v>739</v>
      </c>
      <c r="F4" s="232" t="s">
        <v>736</v>
      </c>
    </row>
    <row r="5" ht="15.75" customHeight="1">
      <c r="A5" s="234">
        <v>46113.0</v>
      </c>
      <c r="B5" s="92" t="s">
        <v>732</v>
      </c>
      <c r="C5" s="235" t="s">
        <v>733</v>
      </c>
      <c r="D5" s="235" t="s">
        <v>734</v>
      </c>
      <c r="E5" s="92" t="s">
        <v>740</v>
      </c>
      <c r="F5" s="232" t="s">
        <v>736</v>
      </c>
    </row>
    <row r="6" ht="15.75" customHeight="1">
      <c r="A6" s="234">
        <v>46115.0</v>
      </c>
      <c r="B6" s="92" t="s">
        <v>732</v>
      </c>
      <c r="C6" s="235" t="s">
        <v>733</v>
      </c>
      <c r="D6" s="235" t="s">
        <v>734</v>
      </c>
      <c r="E6" s="92" t="s">
        <v>741</v>
      </c>
      <c r="F6" s="232" t="s">
        <v>736</v>
      </c>
    </row>
    <row r="7" ht="15.75" customHeight="1">
      <c r="A7" s="234">
        <v>46115.0</v>
      </c>
      <c r="B7" s="92" t="s">
        <v>732</v>
      </c>
      <c r="C7" s="235" t="s">
        <v>733</v>
      </c>
      <c r="D7" s="235" t="s">
        <v>734</v>
      </c>
      <c r="E7" s="92" t="s">
        <v>742</v>
      </c>
      <c r="F7" s="232" t="s">
        <v>736</v>
      </c>
    </row>
    <row r="8" ht="15.75" customHeight="1">
      <c r="A8" s="234">
        <v>46115.0</v>
      </c>
      <c r="B8" s="92" t="s">
        <v>732</v>
      </c>
      <c r="C8" s="235" t="s">
        <v>733</v>
      </c>
      <c r="D8" s="235" t="s">
        <v>743</v>
      </c>
      <c r="E8" s="92" t="s">
        <v>744</v>
      </c>
      <c r="F8" s="232" t="s">
        <v>736</v>
      </c>
    </row>
    <row r="9" ht="15.75" customHeight="1">
      <c r="B9" s="92" t="s">
        <v>732</v>
      </c>
      <c r="C9" s="235" t="s">
        <v>737</v>
      </c>
      <c r="D9" s="235" t="s">
        <v>734</v>
      </c>
      <c r="E9" s="92" t="s">
        <v>745</v>
      </c>
      <c r="F9" s="232" t="s">
        <v>736</v>
      </c>
    </row>
    <row r="10" ht="15.75" customHeight="1">
      <c r="A10" s="234">
        <v>46117.0</v>
      </c>
      <c r="B10" s="92" t="s">
        <v>732</v>
      </c>
      <c r="C10" s="235" t="s">
        <v>737</v>
      </c>
      <c r="D10" s="235" t="s">
        <v>746</v>
      </c>
      <c r="E10" s="92" t="s">
        <v>747</v>
      </c>
      <c r="F10" s="232" t="s">
        <v>736</v>
      </c>
    </row>
    <row r="11" ht="15.75" customHeight="1">
      <c r="A11" s="234">
        <v>46122.0</v>
      </c>
      <c r="B11" s="92" t="s">
        <v>732</v>
      </c>
      <c r="C11" s="231" t="s">
        <v>733</v>
      </c>
      <c r="D11" s="235" t="s">
        <v>748</v>
      </c>
      <c r="E11" s="92" t="s">
        <v>749</v>
      </c>
      <c r="F11" s="232" t="s">
        <v>736</v>
      </c>
    </row>
    <row r="12" ht="15.75" customHeight="1">
      <c r="A12" s="234">
        <v>46123.0</v>
      </c>
      <c r="B12" s="92" t="s">
        <v>732</v>
      </c>
      <c r="C12" s="231" t="s">
        <v>733</v>
      </c>
      <c r="D12" s="235" t="s">
        <v>746</v>
      </c>
      <c r="E12" s="92" t="s">
        <v>750</v>
      </c>
      <c r="F12" s="232" t="s">
        <v>736</v>
      </c>
    </row>
    <row r="13" ht="15.75" customHeight="1">
      <c r="C13" s="135"/>
      <c r="D13" s="135"/>
    </row>
    <row r="14" ht="15.75" customHeight="1">
      <c r="C14" s="135"/>
      <c r="D14" s="135"/>
    </row>
    <row r="15" ht="15.75" customHeight="1">
      <c r="C15" s="135"/>
      <c r="D15" s="135"/>
    </row>
    <row r="16" ht="15.75" customHeight="1">
      <c r="C16" s="135"/>
      <c r="D16" s="135"/>
    </row>
    <row r="17" ht="15.75" customHeight="1">
      <c r="C17" s="135"/>
      <c r="D17" s="135"/>
    </row>
    <row r="18" ht="15.75" customHeight="1">
      <c r="C18" s="135"/>
      <c r="D18" s="135"/>
    </row>
    <row r="19" ht="15.75" customHeight="1">
      <c r="C19" s="135"/>
      <c r="D19" s="135"/>
    </row>
    <row r="20" ht="15.75" customHeight="1">
      <c r="C20" s="135"/>
      <c r="D20" s="135"/>
    </row>
    <row r="21" ht="15.75" customHeight="1">
      <c r="C21" s="135"/>
      <c r="D21" s="135"/>
    </row>
    <row r="22" ht="15.75" customHeight="1">
      <c r="C22" s="135"/>
      <c r="D22" s="135"/>
    </row>
    <row r="23" ht="15.75" customHeight="1">
      <c r="C23" s="135"/>
      <c r="D23" s="135"/>
    </row>
    <row r="24" ht="15.75" customHeight="1">
      <c r="C24" s="135"/>
      <c r="D24" s="135"/>
    </row>
    <row r="25" ht="15.75" customHeight="1">
      <c r="C25" s="135"/>
      <c r="D25" s="135"/>
    </row>
    <row r="26" ht="15.75" customHeight="1">
      <c r="C26" s="135"/>
      <c r="D26" s="135"/>
    </row>
    <row r="27" ht="15.75" customHeight="1">
      <c r="C27" s="135"/>
      <c r="D27" s="135"/>
    </row>
    <row r="28" ht="15.75" customHeight="1">
      <c r="C28" s="135"/>
      <c r="D28" s="135"/>
    </row>
    <row r="29" ht="15.75" customHeight="1">
      <c r="C29" s="135"/>
      <c r="D29" s="135"/>
    </row>
    <row r="30" ht="15.75" customHeight="1">
      <c r="C30" s="135"/>
      <c r="D30" s="135"/>
    </row>
    <row r="31" ht="15.75" customHeight="1">
      <c r="C31" s="135"/>
      <c r="D31" s="135"/>
    </row>
    <row r="32" ht="15.75" customHeight="1">
      <c r="C32" s="135"/>
      <c r="D32" s="135"/>
    </row>
    <row r="33" ht="15.75" customHeight="1">
      <c r="C33" s="135"/>
      <c r="D33" s="135"/>
    </row>
    <row r="34" ht="15.75" customHeight="1">
      <c r="C34" s="135"/>
      <c r="D34" s="135"/>
    </row>
    <row r="35" ht="15.75" customHeight="1">
      <c r="C35" s="135"/>
      <c r="D35" s="135"/>
    </row>
    <row r="36" ht="15.75" customHeight="1">
      <c r="C36" s="135"/>
      <c r="D36" s="135"/>
    </row>
    <row r="37" ht="15.75" customHeight="1">
      <c r="C37" s="135"/>
      <c r="D37" s="135"/>
    </row>
    <row r="38" ht="15.75" customHeight="1">
      <c r="C38" s="135"/>
      <c r="D38" s="135"/>
    </row>
    <row r="39" ht="15.75" customHeight="1">
      <c r="C39" s="135"/>
      <c r="D39" s="135"/>
    </row>
    <row r="40" ht="15.75" customHeight="1">
      <c r="C40" s="135"/>
      <c r="D40" s="135"/>
    </row>
    <row r="41" ht="15.75" customHeight="1">
      <c r="C41" s="135"/>
      <c r="D41" s="135"/>
    </row>
    <row r="42" ht="15.75" customHeight="1">
      <c r="C42" s="135"/>
      <c r="D42" s="135"/>
    </row>
    <row r="43" ht="15.75" customHeight="1">
      <c r="C43" s="135"/>
      <c r="D43" s="135"/>
    </row>
    <row r="44" ht="15.75" customHeight="1">
      <c r="C44" s="135"/>
      <c r="D44" s="135"/>
    </row>
    <row r="45" ht="15.75" customHeight="1">
      <c r="C45" s="135"/>
      <c r="D45" s="135"/>
    </row>
    <row r="46" ht="15.75" customHeight="1">
      <c r="C46" s="135"/>
      <c r="D46" s="135"/>
    </row>
    <row r="47" ht="15.75" customHeight="1">
      <c r="C47" s="135"/>
      <c r="D47" s="135"/>
    </row>
    <row r="48" ht="15.75" customHeight="1">
      <c r="C48" s="135"/>
      <c r="D48" s="135"/>
    </row>
    <row r="49" ht="15.75" customHeight="1">
      <c r="C49" s="135"/>
      <c r="D49" s="135"/>
    </row>
    <row r="50" ht="15.75" customHeight="1">
      <c r="C50" s="135"/>
      <c r="D50" s="135"/>
    </row>
    <row r="51" ht="15.75" customHeight="1">
      <c r="C51" s="135"/>
      <c r="D51" s="135"/>
    </row>
    <row r="52" ht="15.75" customHeight="1">
      <c r="C52" s="135"/>
      <c r="D52" s="135"/>
    </row>
    <row r="53" ht="15.75" customHeight="1">
      <c r="C53" s="135"/>
      <c r="D53" s="135"/>
    </row>
    <row r="54" ht="15.75" customHeight="1">
      <c r="C54" s="135"/>
      <c r="D54" s="135"/>
    </row>
    <row r="55" ht="15.75" customHeight="1">
      <c r="C55" s="135"/>
      <c r="D55" s="135"/>
    </row>
    <row r="56" ht="15.75" customHeight="1">
      <c r="C56" s="135"/>
      <c r="D56" s="135"/>
    </row>
    <row r="57" ht="15.75" customHeight="1">
      <c r="C57" s="135"/>
      <c r="D57" s="135"/>
    </row>
    <row r="58" ht="15.75" customHeight="1">
      <c r="C58" s="135"/>
      <c r="D58" s="135"/>
    </row>
    <row r="59" ht="15.75" customHeight="1">
      <c r="C59" s="135"/>
      <c r="D59" s="135"/>
    </row>
    <row r="60" ht="15.75" customHeight="1">
      <c r="C60" s="135"/>
      <c r="D60" s="135"/>
    </row>
    <row r="61" ht="15.75" customHeight="1">
      <c r="C61" s="135"/>
      <c r="D61" s="135"/>
    </row>
    <row r="62" ht="15.75" customHeight="1">
      <c r="C62" s="135"/>
      <c r="D62" s="135"/>
    </row>
    <row r="63" ht="15.75" customHeight="1">
      <c r="C63" s="135"/>
      <c r="D63" s="135"/>
    </row>
    <row r="64" ht="15.75" customHeight="1">
      <c r="C64" s="135"/>
      <c r="D64" s="135"/>
    </row>
    <row r="65" ht="15.75" customHeight="1">
      <c r="C65" s="135"/>
      <c r="D65" s="135"/>
    </row>
    <row r="66" ht="15.75" customHeight="1">
      <c r="C66" s="135"/>
      <c r="D66" s="135"/>
    </row>
    <row r="67" ht="15.75" customHeight="1">
      <c r="C67" s="135"/>
      <c r="D67" s="135"/>
    </row>
    <row r="68" ht="15.75" customHeight="1">
      <c r="C68" s="135"/>
      <c r="D68" s="135"/>
    </row>
    <row r="69" ht="15.75" customHeight="1">
      <c r="C69" s="135"/>
      <c r="D69" s="135"/>
    </row>
    <row r="70" ht="15.75" customHeight="1">
      <c r="C70" s="135"/>
      <c r="D70" s="135"/>
    </row>
    <row r="71" ht="15.75" customHeight="1">
      <c r="C71" s="135"/>
      <c r="D71" s="135"/>
    </row>
    <row r="72" ht="15.75" customHeight="1">
      <c r="C72" s="135"/>
      <c r="D72" s="135"/>
    </row>
    <row r="73" ht="15.75" customHeight="1">
      <c r="C73" s="135"/>
      <c r="D73" s="135"/>
    </row>
    <row r="74" ht="15.75" customHeight="1">
      <c r="C74" s="135"/>
      <c r="D74" s="135"/>
    </row>
    <row r="75" ht="15.75" customHeight="1">
      <c r="C75" s="135"/>
      <c r="D75" s="135"/>
    </row>
    <row r="76" ht="15.75" customHeight="1">
      <c r="C76" s="135"/>
      <c r="D76" s="135"/>
    </row>
    <row r="77" ht="15.75" customHeight="1">
      <c r="C77" s="135"/>
      <c r="D77" s="135"/>
    </row>
    <row r="78" ht="15.75" customHeight="1">
      <c r="C78" s="135"/>
      <c r="D78" s="135"/>
    </row>
    <row r="79" ht="15.75" customHeight="1">
      <c r="C79" s="135"/>
      <c r="D79" s="135"/>
    </row>
    <row r="80" ht="15.75" customHeight="1">
      <c r="C80" s="135"/>
      <c r="D80" s="135"/>
    </row>
    <row r="81" ht="15.75" customHeight="1">
      <c r="C81" s="135"/>
      <c r="D81" s="135"/>
    </row>
    <row r="82" ht="15.75" customHeight="1">
      <c r="C82" s="135"/>
      <c r="D82" s="135"/>
    </row>
    <row r="83" ht="15.75" customHeight="1">
      <c r="C83" s="135"/>
      <c r="D83" s="135"/>
    </row>
    <row r="84" ht="15.75" customHeight="1">
      <c r="C84" s="135"/>
      <c r="D84" s="135"/>
    </row>
    <row r="85" ht="15.75" customHeight="1">
      <c r="C85" s="135"/>
      <c r="D85" s="135"/>
    </row>
    <row r="86" ht="15.75" customHeight="1">
      <c r="C86" s="135"/>
      <c r="D86" s="135"/>
    </row>
    <row r="87" ht="15.75" customHeight="1">
      <c r="C87" s="135"/>
      <c r="D87" s="135"/>
    </row>
    <row r="88" ht="15.75" customHeight="1">
      <c r="C88" s="135"/>
      <c r="D88" s="135"/>
    </row>
    <row r="89" ht="15.75" customHeight="1">
      <c r="C89" s="135"/>
      <c r="D89" s="135"/>
    </row>
    <row r="90" ht="15.75" customHeight="1">
      <c r="C90" s="135"/>
      <c r="D90" s="135"/>
    </row>
    <row r="91" ht="15.75" customHeight="1">
      <c r="C91" s="135"/>
      <c r="D91" s="135"/>
    </row>
    <row r="92" ht="15.75" customHeight="1">
      <c r="C92" s="135"/>
      <c r="D92" s="135"/>
    </row>
    <row r="93" ht="15.75" customHeight="1">
      <c r="C93" s="135"/>
      <c r="D93" s="135"/>
    </row>
    <row r="94" ht="15.75" customHeight="1">
      <c r="C94" s="135"/>
      <c r="D94" s="135"/>
    </row>
    <row r="95" ht="15.75" customHeight="1">
      <c r="C95" s="135"/>
      <c r="D95" s="135"/>
    </row>
    <row r="96" ht="15.75" customHeight="1">
      <c r="C96" s="135"/>
      <c r="D96" s="135"/>
    </row>
    <row r="97" ht="15.75" customHeight="1">
      <c r="C97" s="135"/>
      <c r="D97" s="135"/>
    </row>
    <row r="98" ht="15.75" customHeight="1">
      <c r="C98" s="135"/>
      <c r="D98" s="135"/>
    </row>
    <row r="99" ht="15.75" customHeight="1">
      <c r="C99" s="135"/>
      <c r="D99" s="135"/>
    </row>
    <row r="100" ht="15.75" customHeight="1">
      <c r="C100" s="135"/>
      <c r="D100" s="135"/>
    </row>
    <row r="101" ht="15.75" customHeight="1">
      <c r="C101" s="135"/>
      <c r="D101" s="135"/>
    </row>
    <row r="102" ht="15.75" customHeight="1">
      <c r="C102" s="135"/>
      <c r="D102" s="135"/>
    </row>
    <row r="103" ht="15.75" customHeight="1">
      <c r="C103" s="135"/>
      <c r="D103" s="135"/>
    </row>
    <row r="104" ht="15.75" customHeight="1">
      <c r="C104" s="135"/>
      <c r="D104" s="135"/>
    </row>
    <row r="105" ht="15.75" customHeight="1">
      <c r="C105" s="135"/>
      <c r="D105" s="135"/>
    </row>
    <row r="106" ht="15.75" customHeight="1">
      <c r="C106" s="135"/>
      <c r="D106" s="135"/>
    </row>
    <row r="107" ht="15.75" customHeight="1">
      <c r="C107" s="135"/>
      <c r="D107" s="135"/>
    </row>
    <row r="108" ht="15.75" customHeight="1">
      <c r="C108" s="135"/>
      <c r="D108" s="135"/>
    </row>
    <row r="109" ht="15.75" customHeight="1">
      <c r="C109" s="135"/>
      <c r="D109" s="135"/>
    </row>
    <row r="110" ht="15.75" customHeight="1">
      <c r="C110" s="135"/>
      <c r="D110" s="135"/>
    </row>
    <row r="111" ht="15.75" customHeight="1">
      <c r="C111" s="135"/>
      <c r="D111" s="135"/>
    </row>
    <row r="112" ht="15.75" customHeight="1">
      <c r="C112" s="135"/>
      <c r="D112" s="135"/>
    </row>
    <row r="113" ht="15.75" customHeight="1">
      <c r="C113" s="135"/>
      <c r="D113" s="135"/>
    </row>
    <row r="114" ht="15.75" customHeight="1">
      <c r="C114" s="135"/>
      <c r="D114" s="135"/>
    </row>
    <row r="115" ht="15.75" customHeight="1">
      <c r="C115" s="135"/>
      <c r="D115" s="135"/>
    </row>
    <row r="116" ht="15.75" customHeight="1">
      <c r="C116" s="135"/>
      <c r="D116" s="135"/>
    </row>
    <row r="117" ht="15.75" customHeight="1">
      <c r="C117" s="135"/>
      <c r="D117" s="135"/>
    </row>
    <row r="118" ht="15.75" customHeight="1">
      <c r="C118" s="135"/>
      <c r="D118" s="135"/>
    </row>
    <row r="119" ht="15.75" customHeight="1">
      <c r="C119" s="135"/>
      <c r="D119" s="135"/>
    </row>
    <row r="120" ht="15.75" customHeight="1">
      <c r="C120" s="135"/>
      <c r="D120" s="135"/>
    </row>
    <row r="121" ht="15.75" customHeight="1">
      <c r="C121" s="135"/>
      <c r="D121" s="135"/>
    </row>
    <row r="122" ht="15.75" customHeight="1">
      <c r="C122" s="135"/>
      <c r="D122" s="135"/>
    </row>
    <row r="123" ht="15.75" customHeight="1">
      <c r="C123" s="135"/>
      <c r="D123" s="135"/>
    </row>
    <row r="124" ht="15.75" customHeight="1">
      <c r="C124" s="135"/>
      <c r="D124" s="135"/>
    </row>
    <row r="125" ht="15.75" customHeight="1">
      <c r="C125" s="135"/>
      <c r="D125" s="135"/>
    </row>
    <row r="126" ht="15.75" customHeight="1">
      <c r="C126" s="135"/>
      <c r="D126" s="135"/>
    </row>
    <row r="127" ht="15.75" customHeight="1">
      <c r="C127" s="135"/>
      <c r="D127" s="135"/>
    </row>
    <row r="128" ht="15.75" customHeight="1">
      <c r="C128" s="135"/>
      <c r="D128" s="135"/>
    </row>
    <row r="129" ht="15.75" customHeight="1">
      <c r="C129" s="135"/>
      <c r="D129" s="135"/>
    </row>
    <row r="130" ht="15.75" customHeight="1">
      <c r="C130" s="135"/>
      <c r="D130" s="135"/>
    </row>
    <row r="131" ht="15.75" customHeight="1">
      <c r="C131" s="135"/>
      <c r="D131" s="135"/>
    </row>
    <row r="132" ht="15.75" customHeight="1">
      <c r="C132" s="135"/>
      <c r="D132" s="135"/>
    </row>
    <row r="133" ht="15.75" customHeight="1">
      <c r="C133" s="135"/>
      <c r="D133" s="135"/>
    </row>
    <row r="134" ht="15.75" customHeight="1">
      <c r="C134" s="135"/>
      <c r="D134" s="135"/>
    </row>
    <row r="135" ht="15.75" customHeight="1">
      <c r="C135" s="135"/>
      <c r="D135" s="135"/>
    </row>
    <row r="136" ht="15.75" customHeight="1">
      <c r="C136" s="135"/>
      <c r="D136" s="135"/>
    </row>
    <row r="137" ht="15.75" customHeight="1">
      <c r="C137" s="135"/>
      <c r="D137" s="135"/>
    </row>
    <row r="138" ht="15.75" customHeight="1">
      <c r="C138" s="135"/>
      <c r="D138" s="135"/>
    </row>
    <row r="139" ht="15.75" customHeight="1">
      <c r="C139" s="135"/>
      <c r="D139" s="135"/>
    </row>
    <row r="140" ht="15.75" customHeight="1">
      <c r="C140" s="135"/>
      <c r="D140" s="135"/>
    </row>
    <row r="141" ht="15.75" customHeight="1">
      <c r="C141" s="135"/>
      <c r="D141" s="135"/>
    </row>
    <row r="142" ht="15.75" customHeight="1">
      <c r="C142" s="135"/>
      <c r="D142" s="135"/>
    </row>
    <row r="143" ht="15.75" customHeight="1">
      <c r="C143" s="135"/>
      <c r="D143" s="135"/>
    </row>
    <row r="144" ht="15.75" customHeight="1">
      <c r="C144" s="135"/>
      <c r="D144" s="135"/>
    </row>
    <row r="145" ht="15.75" customHeight="1">
      <c r="C145" s="135"/>
      <c r="D145" s="135"/>
    </row>
    <row r="146" ht="15.75" customHeight="1">
      <c r="C146" s="135"/>
      <c r="D146" s="135"/>
    </row>
    <row r="147" ht="15.75" customHeight="1">
      <c r="C147" s="135"/>
      <c r="D147" s="135"/>
    </row>
    <row r="148" ht="15.75" customHeight="1">
      <c r="C148" s="135"/>
      <c r="D148" s="135"/>
    </row>
    <row r="149" ht="15.75" customHeight="1">
      <c r="C149" s="135"/>
      <c r="D149" s="135"/>
    </row>
    <row r="150" ht="15.75" customHeight="1">
      <c r="C150" s="135"/>
      <c r="D150" s="135"/>
    </row>
    <row r="151" ht="15.75" customHeight="1">
      <c r="C151" s="135"/>
      <c r="D151" s="135"/>
    </row>
    <row r="152" ht="15.75" customHeight="1">
      <c r="C152" s="135"/>
      <c r="D152" s="135"/>
    </row>
    <row r="153" ht="15.75" customHeight="1">
      <c r="C153" s="135"/>
      <c r="D153" s="135"/>
    </row>
    <row r="154" ht="15.75" customHeight="1">
      <c r="C154" s="135"/>
      <c r="D154" s="135"/>
    </row>
    <row r="155" ht="15.75" customHeight="1">
      <c r="C155" s="135"/>
      <c r="D155" s="135"/>
    </row>
    <row r="156" ht="15.75" customHeight="1">
      <c r="C156" s="135"/>
      <c r="D156" s="135"/>
    </row>
    <row r="157" ht="15.75" customHeight="1">
      <c r="C157" s="135"/>
      <c r="D157" s="135"/>
    </row>
    <row r="158" ht="15.75" customHeight="1">
      <c r="C158" s="135"/>
      <c r="D158" s="135"/>
    </row>
    <row r="159" ht="15.75" customHeight="1">
      <c r="C159" s="135"/>
      <c r="D159" s="135"/>
    </row>
    <row r="160" ht="15.75" customHeight="1">
      <c r="C160" s="135"/>
      <c r="D160" s="135"/>
    </row>
    <row r="161" ht="15.75" customHeight="1">
      <c r="C161" s="135"/>
      <c r="D161" s="135"/>
    </row>
    <row r="162" ht="15.75" customHeight="1">
      <c r="C162" s="135"/>
      <c r="D162" s="135"/>
    </row>
    <row r="163" ht="15.75" customHeight="1">
      <c r="C163" s="135"/>
      <c r="D163" s="135"/>
    </row>
    <row r="164" ht="15.75" customHeight="1">
      <c r="C164" s="135"/>
      <c r="D164" s="135"/>
    </row>
    <row r="165" ht="15.75" customHeight="1">
      <c r="C165" s="135"/>
      <c r="D165" s="135"/>
    </row>
    <row r="166" ht="15.75" customHeight="1">
      <c r="C166" s="135"/>
      <c r="D166" s="135"/>
    </row>
    <row r="167" ht="15.75" customHeight="1">
      <c r="C167" s="135"/>
      <c r="D167" s="135"/>
    </row>
    <row r="168" ht="15.75" customHeight="1">
      <c r="C168" s="135"/>
      <c r="D168" s="135"/>
    </row>
    <row r="169" ht="15.75" customHeight="1">
      <c r="C169" s="135"/>
      <c r="D169" s="135"/>
    </row>
    <row r="170" ht="15.75" customHeight="1">
      <c r="C170" s="135"/>
      <c r="D170" s="135"/>
    </row>
    <row r="171" ht="15.75" customHeight="1">
      <c r="C171" s="135"/>
      <c r="D171" s="135"/>
    </row>
    <row r="172" ht="15.75" customHeight="1">
      <c r="C172" s="135"/>
      <c r="D172" s="135"/>
    </row>
    <row r="173" ht="15.75" customHeight="1">
      <c r="C173" s="135"/>
      <c r="D173" s="135"/>
    </row>
    <row r="174" ht="15.75" customHeight="1">
      <c r="C174" s="135"/>
      <c r="D174" s="135"/>
    </row>
    <row r="175" ht="15.75" customHeight="1">
      <c r="C175" s="135"/>
      <c r="D175" s="135"/>
    </row>
    <row r="176" ht="15.75" customHeight="1">
      <c r="C176" s="135"/>
      <c r="D176" s="135"/>
    </row>
    <row r="177" ht="15.75" customHeight="1">
      <c r="C177" s="135"/>
      <c r="D177" s="135"/>
    </row>
    <row r="178" ht="15.75" customHeight="1">
      <c r="C178" s="135"/>
      <c r="D178" s="135"/>
    </row>
    <row r="179" ht="15.75" customHeight="1">
      <c r="C179" s="135"/>
      <c r="D179" s="135"/>
    </row>
    <row r="180" ht="15.75" customHeight="1">
      <c r="C180" s="135"/>
      <c r="D180" s="135"/>
    </row>
    <row r="181" ht="15.75" customHeight="1">
      <c r="C181" s="135"/>
      <c r="D181" s="135"/>
    </row>
    <row r="182" ht="15.75" customHeight="1">
      <c r="C182" s="135"/>
      <c r="D182" s="135"/>
    </row>
    <row r="183" ht="15.75" customHeight="1">
      <c r="C183" s="135"/>
      <c r="D183" s="135"/>
    </row>
    <row r="184" ht="15.75" customHeight="1">
      <c r="C184" s="135"/>
      <c r="D184" s="135"/>
    </row>
    <row r="185" ht="15.75" customHeight="1">
      <c r="C185" s="135"/>
      <c r="D185" s="135"/>
    </row>
    <row r="186" ht="15.75" customHeight="1">
      <c r="C186" s="135"/>
      <c r="D186" s="135"/>
    </row>
    <row r="187" ht="15.75" customHeight="1">
      <c r="C187" s="135"/>
      <c r="D187" s="135"/>
    </row>
    <row r="188" ht="15.75" customHeight="1">
      <c r="C188" s="135"/>
      <c r="D188" s="135"/>
    </row>
    <row r="189" ht="15.75" customHeight="1">
      <c r="C189" s="135"/>
      <c r="D189" s="135"/>
    </row>
    <row r="190" ht="15.75" customHeight="1">
      <c r="C190" s="135"/>
      <c r="D190" s="135"/>
    </row>
    <row r="191" ht="15.75" customHeight="1">
      <c r="C191" s="135"/>
      <c r="D191" s="135"/>
    </row>
    <row r="192" ht="15.75" customHeight="1">
      <c r="C192" s="135"/>
      <c r="D192" s="135"/>
    </row>
    <row r="193" ht="15.75" customHeight="1">
      <c r="C193" s="135"/>
      <c r="D193" s="135"/>
    </row>
    <row r="194" ht="15.75" customHeight="1">
      <c r="C194" s="135"/>
      <c r="D194" s="135"/>
    </row>
    <row r="195" ht="15.75" customHeight="1">
      <c r="C195" s="135"/>
      <c r="D195" s="135"/>
    </row>
    <row r="196" ht="15.75" customHeight="1">
      <c r="C196" s="135"/>
      <c r="D196" s="135"/>
    </row>
    <row r="197" ht="15.75" customHeight="1">
      <c r="C197" s="135"/>
      <c r="D197" s="135"/>
    </row>
    <row r="198" ht="15.75" customHeight="1">
      <c r="C198" s="135"/>
      <c r="D198" s="135"/>
    </row>
    <row r="199" ht="15.75" customHeight="1">
      <c r="C199" s="135"/>
      <c r="D199" s="135"/>
    </row>
    <row r="200" ht="15.75" customHeight="1">
      <c r="C200" s="135"/>
      <c r="D200" s="135"/>
    </row>
    <row r="201" ht="15.75" customHeight="1">
      <c r="C201" s="135"/>
      <c r="D201" s="135"/>
    </row>
    <row r="202" ht="15.75" customHeight="1">
      <c r="C202" s="135"/>
      <c r="D202" s="135"/>
    </row>
    <row r="203" ht="15.75" customHeight="1">
      <c r="C203" s="135"/>
      <c r="D203" s="135"/>
    </row>
    <row r="204" ht="15.75" customHeight="1">
      <c r="C204" s="135"/>
      <c r="D204" s="135"/>
    </row>
    <row r="205" ht="15.75" customHeight="1">
      <c r="C205" s="135"/>
      <c r="D205" s="135"/>
    </row>
    <row r="206" ht="15.75" customHeight="1">
      <c r="C206" s="135"/>
      <c r="D206" s="135"/>
    </row>
    <row r="207" ht="15.75" customHeight="1">
      <c r="C207" s="135"/>
      <c r="D207" s="135"/>
    </row>
    <row r="208" ht="15.75" customHeight="1">
      <c r="C208" s="135"/>
      <c r="D208" s="135"/>
    </row>
    <row r="209" ht="15.75" customHeight="1">
      <c r="C209" s="135"/>
      <c r="D209" s="135"/>
    </row>
    <row r="210" ht="15.75" customHeight="1">
      <c r="C210" s="135"/>
      <c r="D210" s="135"/>
    </row>
    <row r="211" ht="15.75" customHeight="1">
      <c r="C211" s="135"/>
      <c r="D211" s="135"/>
    </row>
    <row r="212" ht="15.75" customHeight="1">
      <c r="C212" s="135"/>
      <c r="D212" s="135"/>
    </row>
    <row r="213" ht="15.75" customHeight="1">
      <c r="C213" s="135"/>
      <c r="D213" s="135"/>
    </row>
    <row r="214" ht="15.75" customHeight="1">
      <c r="C214" s="135"/>
      <c r="D214" s="135"/>
    </row>
    <row r="215" ht="15.75" customHeight="1">
      <c r="C215" s="135"/>
      <c r="D215" s="135"/>
    </row>
    <row r="216" ht="15.75" customHeight="1">
      <c r="C216" s="135"/>
      <c r="D216" s="135"/>
    </row>
    <row r="217" ht="15.75" customHeight="1">
      <c r="C217" s="135"/>
      <c r="D217" s="135"/>
    </row>
    <row r="218" ht="15.75" customHeight="1">
      <c r="C218" s="135"/>
      <c r="D218" s="135"/>
    </row>
    <row r="219" ht="15.75" customHeight="1">
      <c r="C219" s="135"/>
      <c r="D219" s="135"/>
    </row>
    <row r="220" ht="15.75" customHeight="1">
      <c r="C220" s="135"/>
      <c r="D220" s="135"/>
    </row>
    <row r="221" ht="15.75" customHeight="1">
      <c r="C221" s="135"/>
      <c r="D221" s="135"/>
    </row>
    <row r="222" ht="15.75" customHeight="1">
      <c r="C222" s="135"/>
      <c r="D222" s="135"/>
    </row>
    <row r="223" ht="15.75" customHeight="1">
      <c r="C223" s="135"/>
      <c r="D223" s="135"/>
    </row>
    <row r="224" ht="15.75" customHeight="1">
      <c r="C224" s="135"/>
      <c r="D224" s="135"/>
    </row>
    <row r="225" ht="15.75" customHeight="1">
      <c r="C225" s="135"/>
      <c r="D225" s="135"/>
    </row>
    <row r="226" ht="15.75" customHeight="1">
      <c r="C226" s="135"/>
      <c r="D226" s="135"/>
    </row>
    <row r="227" ht="15.75" customHeight="1">
      <c r="C227" s="135"/>
      <c r="D227" s="135"/>
    </row>
    <row r="228" ht="15.75" customHeight="1">
      <c r="C228" s="135"/>
      <c r="D228" s="135"/>
    </row>
    <row r="229" ht="15.75" customHeight="1">
      <c r="C229" s="135"/>
      <c r="D229" s="135"/>
    </row>
    <row r="230" ht="15.75" customHeight="1">
      <c r="C230" s="135"/>
      <c r="D230" s="135"/>
    </row>
    <row r="231" ht="15.75" customHeight="1">
      <c r="C231" s="135"/>
      <c r="D231" s="135"/>
    </row>
    <row r="232" ht="15.75" customHeight="1">
      <c r="C232" s="135"/>
      <c r="D232" s="135"/>
    </row>
    <row r="233" ht="15.75" customHeight="1">
      <c r="C233" s="135"/>
      <c r="D233" s="135"/>
    </row>
    <row r="234" ht="15.75" customHeight="1">
      <c r="C234" s="135"/>
      <c r="D234" s="135"/>
    </row>
    <row r="235" ht="15.75" customHeight="1">
      <c r="C235" s="135"/>
      <c r="D235" s="135"/>
    </row>
    <row r="236" ht="15.75" customHeight="1">
      <c r="C236" s="135"/>
      <c r="D236" s="135"/>
    </row>
    <row r="237" ht="15.75" customHeight="1">
      <c r="C237" s="135"/>
      <c r="D237" s="135"/>
    </row>
    <row r="238" ht="15.75" customHeight="1">
      <c r="C238" s="135"/>
      <c r="D238" s="135"/>
    </row>
    <row r="239" ht="15.75" customHeight="1">
      <c r="C239" s="135"/>
      <c r="D239" s="135"/>
    </row>
    <row r="240" ht="15.75" customHeight="1">
      <c r="C240" s="135"/>
      <c r="D240" s="135"/>
    </row>
    <row r="241" ht="15.75" customHeight="1">
      <c r="C241" s="135"/>
      <c r="D241" s="135"/>
    </row>
    <row r="242" ht="15.75" customHeight="1">
      <c r="C242" s="135"/>
      <c r="D242" s="135"/>
    </row>
    <row r="243" ht="15.75" customHeight="1">
      <c r="C243" s="135"/>
      <c r="D243" s="135"/>
    </row>
    <row r="244" ht="15.75" customHeight="1">
      <c r="C244" s="135"/>
      <c r="D244" s="135"/>
    </row>
    <row r="245" ht="15.75" customHeight="1">
      <c r="C245" s="135"/>
      <c r="D245" s="135"/>
    </row>
    <row r="246" ht="15.75" customHeight="1">
      <c r="C246" s="135"/>
      <c r="D246" s="135"/>
    </row>
    <row r="247" ht="15.75" customHeight="1">
      <c r="C247" s="135"/>
      <c r="D247" s="135"/>
    </row>
    <row r="248" ht="15.75" customHeight="1">
      <c r="C248" s="135"/>
      <c r="D248" s="135"/>
    </row>
    <row r="249" ht="15.75" customHeight="1">
      <c r="C249" s="135"/>
      <c r="D249" s="135"/>
    </row>
    <row r="250" ht="15.75" customHeight="1">
      <c r="C250" s="135"/>
      <c r="D250" s="135"/>
    </row>
    <row r="251" ht="15.75" customHeight="1">
      <c r="C251" s="135"/>
      <c r="D251" s="135"/>
    </row>
    <row r="252" ht="15.75" customHeight="1">
      <c r="C252" s="135"/>
      <c r="D252" s="135"/>
    </row>
    <row r="253" ht="15.75" customHeight="1">
      <c r="C253" s="135"/>
      <c r="D253" s="135"/>
    </row>
    <row r="254" ht="15.75" customHeight="1">
      <c r="C254" s="135"/>
      <c r="D254" s="135"/>
    </row>
    <row r="255" ht="15.75" customHeight="1">
      <c r="C255" s="135"/>
      <c r="D255" s="135"/>
    </row>
    <row r="256" ht="15.75" customHeight="1">
      <c r="C256" s="135"/>
      <c r="D256" s="135"/>
    </row>
    <row r="257" ht="15.75" customHeight="1">
      <c r="C257" s="135"/>
      <c r="D257" s="135"/>
    </row>
    <row r="258" ht="15.75" customHeight="1">
      <c r="C258" s="135"/>
      <c r="D258" s="135"/>
    </row>
    <row r="259" ht="15.75" customHeight="1">
      <c r="C259" s="135"/>
      <c r="D259" s="135"/>
    </row>
    <row r="260" ht="15.75" customHeight="1">
      <c r="C260" s="135"/>
      <c r="D260" s="135"/>
    </row>
    <row r="261" ht="15.75" customHeight="1">
      <c r="C261" s="135"/>
      <c r="D261" s="135"/>
    </row>
    <row r="262" ht="15.75" customHeight="1">
      <c r="C262" s="135"/>
      <c r="D262" s="135"/>
    </row>
    <row r="263" ht="15.75" customHeight="1">
      <c r="C263" s="135"/>
      <c r="D263" s="135"/>
    </row>
    <row r="264" ht="15.75" customHeight="1">
      <c r="C264" s="135"/>
      <c r="D264" s="135"/>
    </row>
    <row r="265" ht="15.75" customHeight="1">
      <c r="C265" s="135"/>
      <c r="D265" s="135"/>
    </row>
    <row r="266" ht="15.75" customHeight="1">
      <c r="C266" s="135"/>
      <c r="D266" s="135"/>
    </row>
    <row r="267" ht="15.75" customHeight="1">
      <c r="C267" s="135"/>
      <c r="D267" s="135"/>
    </row>
    <row r="268" ht="15.75" customHeight="1">
      <c r="C268" s="135"/>
      <c r="D268" s="135"/>
    </row>
    <row r="269" ht="15.75" customHeight="1">
      <c r="C269" s="135"/>
      <c r="D269" s="135"/>
    </row>
    <row r="270" ht="15.75" customHeight="1">
      <c r="C270" s="135"/>
      <c r="D270" s="135"/>
    </row>
    <row r="271" ht="15.75" customHeight="1">
      <c r="C271" s="135"/>
      <c r="D271" s="135"/>
    </row>
    <row r="272" ht="15.75" customHeight="1">
      <c r="C272" s="135"/>
      <c r="D272" s="135"/>
    </row>
    <row r="273" ht="15.75" customHeight="1">
      <c r="C273" s="135"/>
      <c r="D273" s="135"/>
    </row>
    <row r="274" ht="15.75" customHeight="1">
      <c r="C274" s="135"/>
      <c r="D274" s="135"/>
    </row>
    <row r="275" ht="15.75" customHeight="1">
      <c r="C275" s="135"/>
      <c r="D275" s="135"/>
    </row>
    <row r="276" ht="15.75" customHeight="1">
      <c r="C276" s="135"/>
      <c r="D276" s="135"/>
    </row>
    <row r="277" ht="15.75" customHeight="1">
      <c r="C277" s="135"/>
      <c r="D277" s="135"/>
    </row>
    <row r="278" ht="15.75" customHeight="1">
      <c r="C278" s="135"/>
      <c r="D278" s="135"/>
    </row>
    <row r="279" ht="15.75" customHeight="1">
      <c r="C279" s="135"/>
      <c r="D279" s="135"/>
    </row>
    <row r="280" ht="15.75" customHeight="1">
      <c r="C280" s="135"/>
      <c r="D280" s="135"/>
    </row>
    <row r="281" ht="15.75" customHeight="1">
      <c r="C281" s="135"/>
      <c r="D281" s="135"/>
    </row>
    <row r="282" ht="15.75" customHeight="1">
      <c r="C282" s="135"/>
      <c r="D282" s="135"/>
    </row>
    <row r="283" ht="15.75" customHeight="1">
      <c r="C283" s="135"/>
      <c r="D283" s="135"/>
    </row>
    <row r="284" ht="15.75" customHeight="1">
      <c r="C284" s="135"/>
      <c r="D284" s="135"/>
    </row>
    <row r="285" ht="15.75" customHeight="1">
      <c r="C285" s="135"/>
      <c r="D285" s="135"/>
    </row>
    <row r="286" ht="15.75" customHeight="1">
      <c r="C286" s="135"/>
      <c r="D286" s="135"/>
    </row>
    <row r="287" ht="15.75" customHeight="1">
      <c r="C287" s="135"/>
      <c r="D287" s="135"/>
    </row>
    <row r="288" ht="15.75" customHeight="1">
      <c r="C288" s="135"/>
      <c r="D288" s="135"/>
    </row>
    <row r="289" ht="15.75" customHeight="1">
      <c r="C289" s="135"/>
      <c r="D289" s="135"/>
    </row>
    <row r="290" ht="15.75" customHeight="1">
      <c r="C290" s="135"/>
      <c r="D290" s="135"/>
    </row>
    <row r="291" ht="15.75" customHeight="1">
      <c r="C291" s="135"/>
      <c r="D291" s="135"/>
    </row>
    <row r="292" ht="15.75" customHeight="1">
      <c r="C292" s="135"/>
      <c r="D292" s="135"/>
    </row>
    <row r="293" ht="15.75" customHeight="1">
      <c r="C293" s="135"/>
      <c r="D293" s="135"/>
    </row>
    <row r="294" ht="15.75" customHeight="1">
      <c r="C294" s="135"/>
      <c r="D294" s="135"/>
    </row>
    <row r="295" ht="15.75" customHeight="1">
      <c r="C295" s="135"/>
      <c r="D295" s="135"/>
    </row>
    <row r="296" ht="15.75" customHeight="1">
      <c r="C296" s="135"/>
      <c r="D296" s="135"/>
    </row>
    <row r="297" ht="15.75" customHeight="1">
      <c r="C297" s="135"/>
      <c r="D297" s="135"/>
    </row>
    <row r="298" ht="15.75" customHeight="1">
      <c r="C298" s="135"/>
      <c r="D298" s="135"/>
    </row>
    <row r="299" ht="15.75" customHeight="1">
      <c r="C299" s="135"/>
      <c r="D299" s="135"/>
    </row>
    <row r="300" ht="15.75" customHeight="1">
      <c r="C300" s="135"/>
      <c r="D300" s="135"/>
    </row>
    <row r="301" ht="15.75" customHeight="1">
      <c r="C301" s="135"/>
      <c r="D301" s="135"/>
    </row>
    <row r="302" ht="15.75" customHeight="1">
      <c r="C302" s="135"/>
      <c r="D302" s="135"/>
    </row>
    <row r="303" ht="15.75" customHeight="1">
      <c r="C303" s="135"/>
      <c r="D303" s="135"/>
    </row>
    <row r="304" ht="15.75" customHeight="1">
      <c r="C304" s="135"/>
      <c r="D304" s="135"/>
    </row>
    <row r="305" ht="15.75" customHeight="1">
      <c r="C305" s="135"/>
      <c r="D305" s="135"/>
    </row>
    <row r="306" ht="15.75" customHeight="1">
      <c r="C306" s="135"/>
      <c r="D306" s="135"/>
    </row>
    <row r="307" ht="15.75" customHeight="1">
      <c r="C307" s="135"/>
      <c r="D307" s="135"/>
    </row>
    <row r="308" ht="15.75" customHeight="1">
      <c r="C308" s="135"/>
      <c r="D308" s="135"/>
    </row>
    <row r="309" ht="15.75" customHeight="1">
      <c r="C309" s="135"/>
      <c r="D309" s="135"/>
    </row>
    <row r="310" ht="15.75" customHeight="1">
      <c r="C310" s="135"/>
      <c r="D310" s="135"/>
    </row>
    <row r="311" ht="15.75" customHeight="1">
      <c r="C311" s="135"/>
      <c r="D311" s="135"/>
    </row>
    <row r="312" ht="15.75" customHeight="1">
      <c r="C312" s="135"/>
      <c r="D312" s="135"/>
    </row>
    <row r="313" ht="15.75" customHeight="1">
      <c r="C313" s="135"/>
      <c r="D313" s="135"/>
    </row>
    <row r="314" ht="15.75" customHeight="1">
      <c r="C314" s="135"/>
      <c r="D314" s="135"/>
    </row>
    <row r="315" ht="15.75" customHeight="1">
      <c r="C315" s="135"/>
      <c r="D315" s="135"/>
    </row>
    <row r="316" ht="15.75" customHeight="1">
      <c r="C316" s="135"/>
      <c r="D316" s="135"/>
    </row>
    <row r="317" ht="15.75" customHeight="1">
      <c r="C317" s="135"/>
      <c r="D317" s="135"/>
    </row>
    <row r="318" ht="15.75" customHeight="1">
      <c r="C318" s="135"/>
      <c r="D318" s="135"/>
    </row>
    <row r="319" ht="15.75" customHeight="1">
      <c r="C319" s="135"/>
      <c r="D319" s="135"/>
    </row>
    <row r="320" ht="15.75" customHeight="1">
      <c r="C320" s="135"/>
      <c r="D320" s="135"/>
    </row>
    <row r="321" ht="15.75" customHeight="1">
      <c r="C321" s="135"/>
      <c r="D321" s="135"/>
    </row>
    <row r="322" ht="15.75" customHeight="1">
      <c r="C322" s="135"/>
      <c r="D322" s="135"/>
    </row>
    <row r="323" ht="15.75" customHeight="1">
      <c r="C323" s="135"/>
      <c r="D323" s="135"/>
    </row>
    <row r="324" ht="15.75" customHeight="1">
      <c r="C324" s="135"/>
      <c r="D324" s="135"/>
    </row>
    <row r="325" ht="15.75" customHeight="1">
      <c r="C325" s="135"/>
      <c r="D325" s="135"/>
    </row>
    <row r="326" ht="15.75" customHeight="1">
      <c r="C326" s="135"/>
      <c r="D326" s="135"/>
    </row>
    <row r="327" ht="15.75" customHeight="1">
      <c r="C327" s="135"/>
      <c r="D327" s="135"/>
    </row>
    <row r="328" ht="15.75" customHeight="1">
      <c r="C328" s="135"/>
      <c r="D328" s="135"/>
    </row>
    <row r="329" ht="15.75" customHeight="1">
      <c r="C329" s="135"/>
      <c r="D329" s="135"/>
    </row>
    <row r="330" ht="15.75" customHeight="1">
      <c r="C330" s="135"/>
      <c r="D330" s="135"/>
    </row>
    <row r="331" ht="15.75" customHeight="1">
      <c r="C331" s="135"/>
      <c r="D331" s="135"/>
    </row>
    <row r="332" ht="15.75" customHeight="1">
      <c r="C332" s="135"/>
      <c r="D332" s="135"/>
    </row>
    <row r="333" ht="15.75" customHeight="1">
      <c r="C333" s="135"/>
      <c r="D333" s="135"/>
    </row>
    <row r="334" ht="15.75" customHeight="1">
      <c r="C334" s="135"/>
      <c r="D334" s="135"/>
    </row>
    <row r="335" ht="15.75" customHeight="1">
      <c r="C335" s="135"/>
      <c r="D335" s="135"/>
    </row>
    <row r="336" ht="15.75" customHeight="1">
      <c r="C336" s="135"/>
      <c r="D336" s="135"/>
    </row>
    <row r="337" ht="15.75" customHeight="1">
      <c r="C337" s="135"/>
      <c r="D337" s="135"/>
    </row>
    <row r="338" ht="15.75" customHeight="1">
      <c r="C338" s="135"/>
      <c r="D338" s="135"/>
    </row>
    <row r="339" ht="15.75" customHeight="1">
      <c r="C339" s="135"/>
      <c r="D339" s="135"/>
    </row>
    <row r="340" ht="15.75" customHeight="1">
      <c r="C340" s="135"/>
      <c r="D340" s="135"/>
    </row>
    <row r="341" ht="15.75" customHeight="1">
      <c r="C341" s="135"/>
      <c r="D341" s="135"/>
    </row>
    <row r="342" ht="15.75" customHeight="1">
      <c r="C342" s="135"/>
      <c r="D342" s="135"/>
    </row>
    <row r="343" ht="15.75" customHeight="1">
      <c r="C343" s="135"/>
      <c r="D343" s="135"/>
    </row>
    <row r="344" ht="15.75" customHeight="1">
      <c r="C344" s="135"/>
      <c r="D344" s="135"/>
    </row>
    <row r="345" ht="15.75" customHeight="1">
      <c r="C345" s="135"/>
      <c r="D345" s="135"/>
    </row>
    <row r="346" ht="15.75" customHeight="1">
      <c r="C346" s="135"/>
      <c r="D346" s="135"/>
    </row>
    <row r="347" ht="15.75" customHeight="1">
      <c r="C347" s="135"/>
      <c r="D347" s="135"/>
    </row>
    <row r="348" ht="15.75" customHeight="1">
      <c r="C348" s="135"/>
      <c r="D348" s="135"/>
    </row>
    <row r="349" ht="15.75" customHeight="1">
      <c r="C349" s="135"/>
      <c r="D349" s="135"/>
    </row>
    <row r="350" ht="15.75" customHeight="1">
      <c r="C350" s="135"/>
      <c r="D350" s="135"/>
    </row>
    <row r="351" ht="15.75" customHeight="1">
      <c r="C351" s="135"/>
      <c r="D351" s="135"/>
    </row>
    <row r="352" ht="15.75" customHeight="1">
      <c r="C352" s="135"/>
      <c r="D352" s="135"/>
    </row>
    <row r="353" ht="15.75" customHeight="1">
      <c r="C353" s="135"/>
      <c r="D353" s="135"/>
    </row>
    <row r="354" ht="15.75" customHeight="1">
      <c r="C354" s="135"/>
      <c r="D354" s="135"/>
    </row>
    <row r="355" ht="15.75" customHeight="1">
      <c r="C355" s="135"/>
      <c r="D355" s="135"/>
    </row>
    <row r="356" ht="15.75" customHeight="1">
      <c r="C356" s="135"/>
      <c r="D356" s="135"/>
    </row>
    <row r="357" ht="15.75" customHeight="1">
      <c r="C357" s="135"/>
      <c r="D357" s="135"/>
    </row>
    <row r="358" ht="15.75" customHeight="1">
      <c r="C358" s="135"/>
      <c r="D358" s="135"/>
    </row>
    <row r="359" ht="15.75" customHeight="1">
      <c r="C359" s="135"/>
      <c r="D359" s="135"/>
    </row>
    <row r="360" ht="15.75" customHeight="1">
      <c r="C360" s="135"/>
      <c r="D360" s="135"/>
    </row>
    <row r="361" ht="15.75" customHeight="1">
      <c r="C361" s="135"/>
      <c r="D361" s="135"/>
    </row>
    <row r="362" ht="15.75" customHeight="1">
      <c r="C362" s="135"/>
      <c r="D362" s="135"/>
    </row>
    <row r="363" ht="15.75" customHeight="1">
      <c r="C363" s="135"/>
      <c r="D363" s="135"/>
    </row>
    <row r="364" ht="15.75" customHeight="1">
      <c r="C364" s="135"/>
      <c r="D364" s="135"/>
    </row>
    <row r="365" ht="15.75" customHeight="1">
      <c r="C365" s="135"/>
      <c r="D365" s="135"/>
    </row>
    <row r="366" ht="15.75" customHeight="1">
      <c r="C366" s="135"/>
      <c r="D366" s="135"/>
    </row>
    <row r="367" ht="15.75" customHeight="1">
      <c r="C367" s="135"/>
      <c r="D367" s="135"/>
    </row>
    <row r="368" ht="15.75" customHeight="1">
      <c r="C368" s="135"/>
      <c r="D368" s="135"/>
    </row>
    <row r="369" ht="15.75" customHeight="1">
      <c r="C369" s="135"/>
      <c r="D369" s="135"/>
    </row>
    <row r="370" ht="15.75" customHeight="1">
      <c r="C370" s="135"/>
      <c r="D370" s="135"/>
    </row>
    <row r="371" ht="15.75" customHeight="1">
      <c r="C371" s="135"/>
      <c r="D371" s="135"/>
    </row>
    <row r="372" ht="15.75" customHeight="1">
      <c r="C372" s="135"/>
      <c r="D372" s="135"/>
    </row>
    <row r="373" ht="15.75" customHeight="1">
      <c r="C373" s="135"/>
      <c r="D373" s="135"/>
    </row>
    <row r="374" ht="15.75" customHeight="1">
      <c r="C374" s="135"/>
      <c r="D374" s="135"/>
    </row>
    <row r="375" ht="15.75" customHeight="1">
      <c r="C375" s="135"/>
      <c r="D375" s="135"/>
    </row>
    <row r="376" ht="15.75" customHeight="1">
      <c r="C376" s="135"/>
      <c r="D376" s="135"/>
    </row>
    <row r="377" ht="15.75" customHeight="1">
      <c r="C377" s="135"/>
      <c r="D377" s="135"/>
    </row>
    <row r="378" ht="15.75" customHeight="1">
      <c r="C378" s="135"/>
      <c r="D378" s="135"/>
    </row>
    <row r="379" ht="15.75" customHeight="1">
      <c r="C379" s="135"/>
      <c r="D379" s="135"/>
    </row>
    <row r="380" ht="15.75" customHeight="1">
      <c r="C380" s="135"/>
      <c r="D380" s="135"/>
    </row>
    <row r="381" ht="15.75" customHeight="1">
      <c r="C381" s="135"/>
      <c r="D381" s="135"/>
    </row>
    <row r="382" ht="15.75" customHeight="1">
      <c r="C382" s="135"/>
      <c r="D382" s="135"/>
    </row>
    <row r="383" ht="15.75" customHeight="1">
      <c r="C383" s="135"/>
      <c r="D383" s="135"/>
    </row>
    <row r="384" ht="15.75" customHeight="1">
      <c r="C384" s="135"/>
      <c r="D384" s="135"/>
    </row>
    <row r="385" ht="15.75" customHeight="1">
      <c r="C385" s="135"/>
      <c r="D385" s="135"/>
    </row>
    <row r="386" ht="15.75" customHeight="1">
      <c r="C386" s="135"/>
      <c r="D386" s="135"/>
    </row>
    <row r="387" ht="15.75" customHeight="1">
      <c r="C387" s="135"/>
      <c r="D387" s="135"/>
    </row>
    <row r="388" ht="15.75" customHeight="1">
      <c r="C388" s="135"/>
      <c r="D388" s="135"/>
    </row>
    <row r="389" ht="15.75" customHeight="1">
      <c r="C389" s="135"/>
      <c r="D389" s="135"/>
    </row>
    <row r="390" ht="15.75" customHeight="1">
      <c r="C390" s="135"/>
      <c r="D390" s="135"/>
    </row>
    <row r="391" ht="15.75" customHeight="1">
      <c r="C391" s="135"/>
      <c r="D391" s="135"/>
    </row>
    <row r="392" ht="15.75" customHeight="1">
      <c r="C392" s="135"/>
      <c r="D392" s="135"/>
    </row>
    <row r="393" ht="15.75" customHeight="1">
      <c r="C393" s="135"/>
      <c r="D393" s="135"/>
    </row>
    <row r="394" ht="15.75" customHeight="1">
      <c r="C394" s="135"/>
      <c r="D394" s="135"/>
    </row>
    <row r="395" ht="15.75" customHeight="1">
      <c r="C395" s="135"/>
      <c r="D395" s="135"/>
    </row>
    <row r="396" ht="15.75" customHeight="1">
      <c r="C396" s="135"/>
      <c r="D396" s="135"/>
    </row>
    <row r="397" ht="15.75" customHeight="1">
      <c r="C397" s="135"/>
      <c r="D397" s="135"/>
    </row>
    <row r="398" ht="15.75" customHeight="1">
      <c r="C398" s="135"/>
      <c r="D398" s="135"/>
    </row>
    <row r="399" ht="15.75" customHeight="1">
      <c r="C399" s="135"/>
      <c r="D399" s="135"/>
    </row>
    <row r="400" ht="15.75" customHeight="1">
      <c r="C400" s="135"/>
      <c r="D400" s="135"/>
    </row>
    <row r="401" ht="15.75" customHeight="1">
      <c r="C401" s="135"/>
      <c r="D401" s="135"/>
    </row>
    <row r="402" ht="15.75" customHeight="1">
      <c r="C402" s="135"/>
      <c r="D402" s="135"/>
    </row>
    <row r="403" ht="15.75" customHeight="1">
      <c r="C403" s="135"/>
      <c r="D403" s="135"/>
    </row>
    <row r="404" ht="15.75" customHeight="1">
      <c r="C404" s="135"/>
      <c r="D404" s="135"/>
    </row>
    <row r="405" ht="15.75" customHeight="1">
      <c r="C405" s="135"/>
      <c r="D405" s="135"/>
    </row>
    <row r="406" ht="15.75" customHeight="1">
      <c r="C406" s="135"/>
      <c r="D406" s="135"/>
    </row>
    <row r="407" ht="15.75" customHeight="1">
      <c r="C407" s="135"/>
      <c r="D407" s="135"/>
    </row>
    <row r="408" ht="15.75" customHeight="1">
      <c r="C408" s="135"/>
      <c r="D408" s="135"/>
    </row>
    <row r="409" ht="15.75" customHeight="1">
      <c r="C409" s="135"/>
      <c r="D409" s="135"/>
    </row>
    <row r="410" ht="15.75" customHeight="1">
      <c r="C410" s="135"/>
      <c r="D410" s="135"/>
    </row>
    <row r="411" ht="15.75" customHeight="1">
      <c r="C411" s="135"/>
      <c r="D411" s="135"/>
    </row>
    <row r="412" ht="15.75" customHeight="1">
      <c r="C412" s="135"/>
      <c r="D412" s="135"/>
    </row>
    <row r="413" ht="15.75" customHeight="1">
      <c r="C413" s="135"/>
      <c r="D413" s="135"/>
    </row>
    <row r="414" ht="15.75" customHeight="1">
      <c r="C414" s="135"/>
      <c r="D414" s="135"/>
    </row>
    <row r="415" ht="15.75" customHeight="1">
      <c r="C415" s="135"/>
      <c r="D415" s="135"/>
    </row>
    <row r="416" ht="15.75" customHeight="1">
      <c r="C416" s="135"/>
      <c r="D416" s="135"/>
    </row>
    <row r="417" ht="15.75" customHeight="1">
      <c r="C417" s="135"/>
      <c r="D417" s="135"/>
    </row>
    <row r="418" ht="15.75" customHeight="1">
      <c r="C418" s="135"/>
      <c r="D418" s="135"/>
    </row>
    <row r="419" ht="15.75" customHeight="1">
      <c r="C419" s="135"/>
      <c r="D419" s="135"/>
    </row>
    <row r="420" ht="15.75" customHeight="1">
      <c r="C420" s="135"/>
      <c r="D420" s="135"/>
    </row>
    <row r="421" ht="15.75" customHeight="1">
      <c r="C421" s="135"/>
      <c r="D421" s="135"/>
    </row>
    <row r="422" ht="15.75" customHeight="1">
      <c r="C422" s="135"/>
      <c r="D422" s="135"/>
    </row>
    <row r="423" ht="15.75" customHeight="1">
      <c r="C423" s="135"/>
      <c r="D423" s="135"/>
    </row>
    <row r="424" ht="15.75" customHeight="1">
      <c r="C424" s="135"/>
      <c r="D424" s="135"/>
    </row>
    <row r="425" ht="15.75" customHeight="1">
      <c r="C425" s="135"/>
      <c r="D425" s="135"/>
    </row>
    <row r="426" ht="15.75" customHeight="1">
      <c r="C426" s="135"/>
      <c r="D426" s="135"/>
    </row>
    <row r="427" ht="15.75" customHeight="1">
      <c r="C427" s="135"/>
      <c r="D427" s="135"/>
    </row>
    <row r="428" ht="15.75" customHeight="1">
      <c r="C428" s="135"/>
      <c r="D428" s="135"/>
    </row>
    <row r="429" ht="15.75" customHeight="1">
      <c r="C429" s="135"/>
      <c r="D429" s="135"/>
    </row>
    <row r="430" ht="15.75" customHeight="1">
      <c r="C430" s="135"/>
      <c r="D430" s="135"/>
    </row>
    <row r="431" ht="15.75" customHeight="1">
      <c r="C431" s="135"/>
      <c r="D431" s="135"/>
    </row>
    <row r="432" ht="15.75" customHeight="1">
      <c r="C432" s="135"/>
      <c r="D432" s="135"/>
    </row>
    <row r="433" ht="15.75" customHeight="1">
      <c r="C433" s="135"/>
      <c r="D433" s="135"/>
    </row>
    <row r="434" ht="15.75" customHeight="1">
      <c r="C434" s="135"/>
      <c r="D434" s="135"/>
    </row>
    <row r="435" ht="15.75" customHeight="1">
      <c r="C435" s="135"/>
      <c r="D435" s="135"/>
    </row>
    <row r="436" ht="15.75" customHeight="1">
      <c r="C436" s="135"/>
      <c r="D436" s="135"/>
    </row>
    <row r="437" ht="15.75" customHeight="1">
      <c r="C437" s="135"/>
      <c r="D437" s="135"/>
    </row>
    <row r="438" ht="15.75" customHeight="1">
      <c r="C438" s="135"/>
      <c r="D438" s="135"/>
    </row>
    <row r="439" ht="15.75" customHeight="1">
      <c r="C439" s="135"/>
      <c r="D439" s="135"/>
    </row>
    <row r="440" ht="15.75" customHeight="1">
      <c r="C440" s="135"/>
      <c r="D440" s="135"/>
    </row>
    <row r="441" ht="15.75" customHeight="1">
      <c r="C441" s="135"/>
      <c r="D441" s="135"/>
    </row>
    <row r="442" ht="15.75" customHeight="1">
      <c r="C442" s="135"/>
      <c r="D442" s="135"/>
    </row>
    <row r="443" ht="15.75" customHeight="1">
      <c r="C443" s="135"/>
      <c r="D443" s="135"/>
    </row>
    <row r="444" ht="15.75" customHeight="1">
      <c r="C444" s="135"/>
      <c r="D444" s="135"/>
    </row>
    <row r="445" ht="15.75" customHeight="1">
      <c r="C445" s="135"/>
      <c r="D445" s="135"/>
    </row>
    <row r="446" ht="15.75" customHeight="1">
      <c r="C446" s="135"/>
      <c r="D446" s="135"/>
    </row>
    <row r="447" ht="15.75" customHeight="1">
      <c r="C447" s="135"/>
      <c r="D447" s="135"/>
    </row>
    <row r="448" ht="15.75" customHeight="1">
      <c r="C448" s="135"/>
      <c r="D448" s="135"/>
    </row>
    <row r="449" ht="15.75" customHeight="1">
      <c r="C449" s="135"/>
      <c r="D449" s="135"/>
    </row>
    <row r="450" ht="15.75" customHeight="1">
      <c r="C450" s="135"/>
      <c r="D450" s="135"/>
    </row>
    <row r="451" ht="15.75" customHeight="1">
      <c r="C451" s="135"/>
      <c r="D451" s="135"/>
    </row>
    <row r="452" ht="15.75" customHeight="1">
      <c r="C452" s="135"/>
      <c r="D452" s="135"/>
    </row>
    <row r="453" ht="15.75" customHeight="1">
      <c r="C453" s="135"/>
      <c r="D453" s="135"/>
    </row>
    <row r="454" ht="15.75" customHeight="1">
      <c r="C454" s="135"/>
      <c r="D454" s="135"/>
    </row>
    <row r="455" ht="15.75" customHeight="1">
      <c r="C455" s="135"/>
      <c r="D455" s="135"/>
    </row>
    <row r="456" ht="15.75" customHeight="1">
      <c r="C456" s="135"/>
      <c r="D456" s="135"/>
    </row>
    <row r="457" ht="15.75" customHeight="1">
      <c r="C457" s="135"/>
      <c r="D457" s="135"/>
    </row>
    <row r="458" ht="15.75" customHeight="1">
      <c r="C458" s="135"/>
      <c r="D458" s="135"/>
    </row>
    <row r="459" ht="15.75" customHeight="1">
      <c r="C459" s="135"/>
      <c r="D459" s="135"/>
    </row>
    <row r="460" ht="15.75" customHeight="1">
      <c r="C460" s="135"/>
      <c r="D460" s="135"/>
    </row>
    <row r="461" ht="15.75" customHeight="1">
      <c r="C461" s="135"/>
      <c r="D461" s="135"/>
    </row>
    <row r="462" ht="15.75" customHeight="1">
      <c r="C462" s="135"/>
      <c r="D462" s="135"/>
    </row>
    <row r="463" ht="15.75" customHeight="1">
      <c r="C463" s="135"/>
      <c r="D463" s="135"/>
    </row>
    <row r="464" ht="15.75" customHeight="1">
      <c r="C464" s="135"/>
      <c r="D464" s="135"/>
    </row>
    <row r="465" ht="15.75" customHeight="1">
      <c r="C465" s="135"/>
      <c r="D465" s="135"/>
    </row>
    <row r="466" ht="15.75" customHeight="1">
      <c r="C466" s="135"/>
      <c r="D466" s="135"/>
    </row>
    <row r="467" ht="15.75" customHeight="1">
      <c r="C467" s="135"/>
      <c r="D467" s="135"/>
    </row>
    <row r="468" ht="15.75" customHeight="1">
      <c r="C468" s="135"/>
      <c r="D468" s="135"/>
    </row>
    <row r="469" ht="15.75" customHeight="1">
      <c r="C469" s="135"/>
      <c r="D469" s="135"/>
    </row>
    <row r="470" ht="15.75" customHeight="1">
      <c r="C470" s="135"/>
      <c r="D470" s="135"/>
    </row>
    <row r="471" ht="15.75" customHeight="1">
      <c r="C471" s="135"/>
      <c r="D471" s="135"/>
    </row>
    <row r="472" ht="15.75" customHeight="1">
      <c r="C472" s="135"/>
      <c r="D472" s="135"/>
    </row>
    <row r="473" ht="15.75" customHeight="1">
      <c r="C473" s="135"/>
      <c r="D473" s="135"/>
    </row>
    <row r="474" ht="15.75" customHeight="1">
      <c r="C474" s="135"/>
      <c r="D474" s="135"/>
    </row>
    <row r="475" ht="15.75" customHeight="1">
      <c r="C475" s="135"/>
      <c r="D475" s="135"/>
    </row>
    <row r="476" ht="15.75" customHeight="1">
      <c r="C476" s="135"/>
      <c r="D476" s="135"/>
    </row>
    <row r="477" ht="15.75" customHeight="1">
      <c r="C477" s="135"/>
      <c r="D477" s="135"/>
    </row>
    <row r="478" ht="15.75" customHeight="1">
      <c r="C478" s="135"/>
      <c r="D478" s="135"/>
    </row>
    <row r="479" ht="15.75" customHeight="1">
      <c r="C479" s="135"/>
      <c r="D479" s="135"/>
    </row>
    <row r="480" ht="15.75" customHeight="1">
      <c r="C480" s="135"/>
      <c r="D480" s="135"/>
    </row>
    <row r="481" ht="15.75" customHeight="1">
      <c r="C481" s="135"/>
      <c r="D481" s="135"/>
    </row>
    <row r="482" ht="15.75" customHeight="1">
      <c r="C482" s="135"/>
      <c r="D482" s="135"/>
    </row>
    <row r="483" ht="15.75" customHeight="1">
      <c r="C483" s="135"/>
      <c r="D483" s="135"/>
    </row>
    <row r="484" ht="15.75" customHeight="1">
      <c r="C484" s="135"/>
      <c r="D484" s="135"/>
    </row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autoFilter ref="$A$1:$F$1"/>
  <dataValidations>
    <dataValidation type="list" allowBlank="1" sqref="C2:C484">
      <formula1>"ADD,DEPRECATE,RENAME_MIGRATION,STATUS_CHANGE"</formula1>
    </dataValidation>
    <dataValidation type="list" allowBlank="1" sqref="D2:D484">
      <formula1>"CATALOG_MASTER,CAR_REGISTRY,ITEM_VISUAL,ITEM_PERF,LOOT_TABLE,ALL,OVERVIEW,VISUAL_DECALS"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0.0"/>
    <col customWidth="1" min="2" max="2" width="10.0"/>
    <col customWidth="1" min="3" max="3" width="26.0"/>
    <col customWidth="1" min="4" max="4" width="14.0"/>
    <col customWidth="1" min="5" max="5" width="15.14"/>
    <col customWidth="1" min="6" max="6" width="30.29"/>
    <col customWidth="1" min="7" max="7" width="10.0"/>
    <col customWidth="1" min="8" max="9" width="12.0"/>
    <col customWidth="1" min="10" max="10" width="10.0"/>
    <col customWidth="1" min="11" max="11" width="28.0"/>
    <col customWidth="1" min="12" max="26" width="8.71"/>
  </cols>
  <sheetData>
    <row r="1" ht="27.75" customHeight="1">
      <c r="A1" s="236" t="s">
        <v>751</v>
      </c>
      <c r="B1" s="236" t="s">
        <v>752</v>
      </c>
      <c r="C1" s="236" t="s">
        <v>753</v>
      </c>
      <c r="D1" s="236" t="s">
        <v>716</v>
      </c>
      <c r="E1" s="236" t="s">
        <v>717</v>
      </c>
      <c r="F1" s="236" t="s">
        <v>127</v>
      </c>
      <c r="G1" s="236" t="s">
        <v>754</v>
      </c>
      <c r="H1" s="236" t="s">
        <v>755</v>
      </c>
      <c r="I1" s="236" t="s">
        <v>719</v>
      </c>
      <c r="J1" s="236" t="s">
        <v>131</v>
      </c>
      <c r="K1" s="236" t="s">
        <v>84</v>
      </c>
    </row>
    <row r="2">
      <c r="A2" s="155"/>
      <c r="B2" s="155"/>
      <c r="C2" s="155"/>
      <c r="D2" s="237" t="s">
        <v>756</v>
      </c>
      <c r="E2" s="237" t="s">
        <v>756</v>
      </c>
      <c r="F2" s="237" t="s">
        <v>647</v>
      </c>
      <c r="G2" s="238"/>
      <c r="H2" s="155"/>
      <c r="I2" s="155"/>
      <c r="J2" s="155"/>
    </row>
    <row r="3">
      <c r="A3" s="228" t="s">
        <v>757</v>
      </c>
      <c r="B3" s="24" t="s">
        <v>758</v>
      </c>
      <c r="C3" s="228" t="s">
        <v>759</v>
      </c>
      <c r="D3" s="206" t="str">
        <f>IFERROR(VLOOKUP(C3,ITEM_MASTER!$A:$C,2,0),"?")</f>
        <v>?</v>
      </c>
      <c r="E3" s="206" t="str">
        <f>IFERROR(VLOOKUP(C3,ITEM_MASTER!$A:$C,3,0),"?")</f>
        <v>?</v>
      </c>
      <c r="F3" s="206" t="str">
        <f>IFERROR(VLOOKUP(C3,ITEM_MASTER!$A:$D,4,0),"?")</f>
        <v>?</v>
      </c>
      <c r="G3" s="239">
        <v>40.0</v>
      </c>
      <c r="H3" s="239">
        <f t="shared" ref="H3:H17" si="1">G3/SUMIF($A$3:$A$500,A3,$G$3:$G$500)</f>
        <v>0.25</v>
      </c>
      <c r="I3" s="24" t="s">
        <v>144</v>
      </c>
      <c r="J3" s="24" t="s">
        <v>722</v>
      </c>
      <c r="K3" s="24"/>
    </row>
    <row r="4">
      <c r="A4" s="65" t="s">
        <v>757</v>
      </c>
      <c r="B4" s="66" t="s">
        <v>758</v>
      </c>
      <c r="C4" s="65" t="s">
        <v>760</v>
      </c>
      <c r="D4" s="227" t="str">
        <f>IFERROR(VLOOKUP(C4,ITEM_MASTER!$A:$C,2,0),"?")</f>
        <v>?</v>
      </c>
      <c r="E4" s="227" t="str">
        <f>IFERROR(VLOOKUP(C4,ITEM_MASTER!$A:$C,3,0),"?")</f>
        <v>?</v>
      </c>
      <c r="F4" s="227" t="str">
        <f>IFERROR(VLOOKUP(C4,ITEM_MASTER!$A:$D,4,0),"?")</f>
        <v>?</v>
      </c>
      <c r="G4" s="240">
        <v>40.0</v>
      </c>
      <c r="H4" s="240">
        <f t="shared" si="1"/>
        <v>0.25</v>
      </c>
      <c r="I4" s="66" t="s">
        <v>144</v>
      </c>
      <c r="J4" s="66" t="s">
        <v>722</v>
      </c>
      <c r="K4" s="66"/>
    </row>
    <row r="5">
      <c r="A5" s="228" t="s">
        <v>757</v>
      </c>
      <c r="B5" s="24" t="s">
        <v>758</v>
      </c>
      <c r="C5" s="228" t="s">
        <v>761</v>
      </c>
      <c r="D5" s="206" t="str">
        <f>IFERROR(VLOOKUP(C5,ITEM_MASTER!$A:$C,2,0),"?")</f>
        <v>?</v>
      </c>
      <c r="E5" s="206" t="str">
        <f>IFERROR(VLOOKUP(C5,ITEM_MASTER!$A:$C,3,0),"?")</f>
        <v>?</v>
      </c>
      <c r="F5" s="206" t="str">
        <f>IFERROR(VLOOKUP(C5,ITEM_MASTER!$A:$D,4,0),"?")</f>
        <v>?</v>
      </c>
      <c r="G5" s="239">
        <v>30.0</v>
      </c>
      <c r="H5" s="239">
        <f t="shared" si="1"/>
        <v>0.1875</v>
      </c>
      <c r="I5" s="24" t="s">
        <v>144</v>
      </c>
      <c r="J5" s="24" t="s">
        <v>722</v>
      </c>
      <c r="K5" s="24"/>
    </row>
    <row r="6">
      <c r="A6" s="65" t="s">
        <v>757</v>
      </c>
      <c r="B6" s="66" t="s">
        <v>758</v>
      </c>
      <c r="C6" s="65" t="s">
        <v>762</v>
      </c>
      <c r="D6" s="227" t="str">
        <f>IFERROR(VLOOKUP(C6,ITEM_MASTER!$A:$C,2,0),"?")</f>
        <v>?</v>
      </c>
      <c r="E6" s="227" t="str">
        <f>IFERROR(VLOOKUP(C6,ITEM_MASTER!$A:$C,3,0),"?")</f>
        <v>?</v>
      </c>
      <c r="F6" s="227" t="str">
        <f>IFERROR(VLOOKUP(C6,ITEM_MASTER!$A:$D,4,0),"?")</f>
        <v>?</v>
      </c>
      <c r="G6" s="240">
        <v>30.0</v>
      </c>
      <c r="H6" s="240">
        <f t="shared" si="1"/>
        <v>0.1875</v>
      </c>
      <c r="I6" s="66" t="s">
        <v>144</v>
      </c>
      <c r="J6" s="66" t="s">
        <v>722</v>
      </c>
      <c r="K6" s="66"/>
    </row>
    <row r="7">
      <c r="A7" s="228" t="s">
        <v>757</v>
      </c>
      <c r="B7" s="24" t="s">
        <v>758</v>
      </c>
      <c r="C7" s="228" t="s">
        <v>763</v>
      </c>
      <c r="D7" s="206" t="str">
        <f>IFERROR(VLOOKUP(C7,ITEM_MASTER!$A:$C,2,0),"?")</f>
        <v>?</v>
      </c>
      <c r="E7" s="206" t="str">
        <f>IFERROR(VLOOKUP(C7,ITEM_MASTER!$A:$C,3,0),"?")</f>
        <v>?</v>
      </c>
      <c r="F7" s="206" t="str">
        <f>IFERROR(VLOOKUP(C7,ITEM_MASTER!$A:$D,4,0),"?")</f>
        <v>?</v>
      </c>
      <c r="G7" s="239">
        <v>20.0</v>
      </c>
      <c r="H7" s="239">
        <f t="shared" si="1"/>
        <v>0.125</v>
      </c>
      <c r="I7" s="24" t="s">
        <v>144</v>
      </c>
      <c r="J7" s="24" t="s">
        <v>722</v>
      </c>
      <c r="K7" s="24"/>
    </row>
    <row r="8">
      <c r="A8" s="65" t="s">
        <v>764</v>
      </c>
      <c r="B8" s="66" t="s">
        <v>765</v>
      </c>
      <c r="C8" s="65" t="s">
        <v>766</v>
      </c>
      <c r="D8" s="227" t="str">
        <f>IFERROR(VLOOKUP(C8,ITEM_MASTER!$A:$C,2,0),"?")</f>
        <v>?</v>
      </c>
      <c r="E8" s="227" t="str">
        <f>IFERROR(VLOOKUP(C8,ITEM_MASTER!$A:$C,3,0),"?")</f>
        <v>?</v>
      </c>
      <c r="F8" s="227" t="str">
        <f>IFERROR(VLOOKUP(C8,ITEM_MASTER!$A:$D,4,0),"?")</f>
        <v>?</v>
      </c>
      <c r="G8" s="240">
        <v>30.0</v>
      </c>
      <c r="H8" s="240">
        <f t="shared" si="1"/>
        <v>0.3</v>
      </c>
      <c r="I8" s="66" t="s">
        <v>198</v>
      </c>
      <c r="J8" s="66" t="s">
        <v>722</v>
      </c>
      <c r="K8" s="66"/>
    </row>
    <row r="9">
      <c r="A9" s="228" t="s">
        <v>764</v>
      </c>
      <c r="B9" s="24" t="s">
        <v>765</v>
      </c>
      <c r="C9" s="228" t="s">
        <v>767</v>
      </c>
      <c r="D9" s="206" t="str">
        <f>IFERROR(VLOOKUP(C9,ITEM_MASTER!$A:$C,2,0),"?")</f>
        <v>?</v>
      </c>
      <c r="E9" s="206" t="str">
        <f>IFERROR(VLOOKUP(C9,ITEM_MASTER!$A:$C,3,0),"?")</f>
        <v>?</v>
      </c>
      <c r="F9" s="206" t="str">
        <f>IFERROR(VLOOKUP(C9,ITEM_MASTER!$A:$D,4,0),"?")</f>
        <v>?</v>
      </c>
      <c r="G9" s="239">
        <v>30.0</v>
      </c>
      <c r="H9" s="239">
        <f t="shared" si="1"/>
        <v>0.3</v>
      </c>
      <c r="I9" s="24" t="s">
        <v>198</v>
      </c>
      <c r="J9" s="24" t="s">
        <v>722</v>
      </c>
      <c r="K9" s="24"/>
    </row>
    <row r="10">
      <c r="A10" s="65" t="s">
        <v>764</v>
      </c>
      <c r="B10" s="66" t="s">
        <v>765</v>
      </c>
      <c r="C10" s="65" t="s">
        <v>768</v>
      </c>
      <c r="D10" s="227" t="str">
        <f>IFERROR(VLOOKUP(C10,ITEM_MASTER!$A:$C,2,0),"?")</f>
        <v>?</v>
      </c>
      <c r="E10" s="227" t="str">
        <f>IFERROR(VLOOKUP(C10,ITEM_MASTER!$A:$C,3,0),"?")</f>
        <v>?</v>
      </c>
      <c r="F10" s="227" t="str">
        <f>IFERROR(VLOOKUP(C10,ITEM_MASTER!$A:$D,4,0),"?")</f>
        <v>?</v>
      </c>
      <c r="G10" s="240">
        <v>20.0</v>
      </c>
      <c r="H10" s="240">
        <f t="shared" si="1"/>
        <v>0.2</v>
      </c>
      <c r="I10" s="66" t="s">
        <v>198</v>
      </c>
      <c r="J10" s="66" t="s">
        <v>722</v>
      </c>
      <c r="K10" s="66"/>
    </row>
    <row r="11">
      <c r="A11" s="228" t="s">
        <v>764</v>
      </c>
      <c r="B11" s="24" t="s">
        <v>765</v>
      </c>
      <c r="C11" s="228" t="s">
        <v>769</v>
      </c>
      <c r="D11" s="206" t="str">
        <f>IFERROR(VLOOKUP(C11,ITEM_MASTER!$A:$C,2,0),"?")</f>
        <v>?</v>
      </c>
      <c r="E11" s="206" t="str">
        <f>IFERROR(VLOOKUP(C11,ITEM_MASTER!$A:$C,3,0),"?")</f>
        <v>?</v>
      </c>
      <c r="F11" s="206" t="str">
        <f>IFERROR(VLOOKUP(C11,ITEM_MASTER!$A:$D,4,0),"?")</f>
        <v>?</v>
      </c>
      <c r="G11" s="239">
        <v>20.0</v>
      </c>
      <c r="H11" s="239">
        <f t="shared" si="1"/>
        <v>0.2</v>
      </c>
      <c r="I11" s="24" t="s">
        <v>198</v>
      </c>
      <c r="J11" s="24" t="s">
        <v>722</v>
      </c>
      <c r="K11" s="24"/>
    </row>
    <row r="12">
      <c r="A12" s="65" t="s">
        <v>770</v>
      </c>
      <c r="B12" s="66" t="s">
        <v>771</v>
      </c>
      <c r="C12" s="65" t="s">
        <v>772</v>
      </c>
      <c r="D12" s="227" t="str">
        <f>IFERROR(VLOOKUP(C12,ITEM_MASTER!$A:$C,2,0),"?")</f>
        <v>?</v>
      </c>
      <c r="E12" s="227" t="str">
        <f>IFERROR(VLOOKUP(C12,ITEM_MASTER!$A:$C,3,0),"?")</f>
        <v>?</v>
      </c>
      <c r="F12" s="227" t="str">
        <f>IFERROR(VLOOKUP(C12,ITEM_MASTER!$A:$D,4,0),"?")</f>
        <v>?</v>
      </c>
      <c r="G12" s="240">
        <v>20.0</v>
      </c>
      <c r="H12" s="240">
        <f t="shared" si="1"/>
        <v>0.4</v>
      </c>
      <c r="I12" s="66" t="s">
        <v>773</v>
      </c>
      <c r="J12" s="66" t="s">
        <v>722</v>
      </c>
      <c r="K12" s="66"/>
    </row>
    <row r="13">
      <c r="A13" s="228" t="s">
        <v>770</v>
      </c>
      <c r="B13" s="24" t="s">
        <v>771</v>
      </c>
      <c r="C13" s="228" t="s">
        <v>768</v>
      </c>
      <c r="D13" s="206" t="str">
        <f>IFERROR(VLOOKUP(C13,ITEM_MASTER!$A:$C,2,0),"?")</f>
        <v>?</v>
      </c>
      <c r="E13" s="206" t="str">
        <f>IFERROR(VLOOKUP(C13,ITEM_MASTER!$A:$C,3,0),"?")</f>
        <v>?</v>
      </c>
      <c r="F13" s="206" t="str">
        <f>IFERROR(VLOOKUP(C13,ITEM_MASTER!$A:$D,4,0),"?")</f>
        <v>?</v>
      </c>
      <c r="G13" s="239">
        <v>15.0</v>
      </c>
      <c r="H13" s="239">
        <f t="shared" si="1"/>
        <v>0.3</v>
      </c>
      <c r="I13" s="24" t="s">
        <v>773</v>
      </c>
      <c r="J13" s="24" t="s">
        <v>722</v>
      </c>
      <c r="K13" s="24"/>
    </row>
    <row r="14">
      <c r="A14" s="65" t="s">
        <v>770</v>
      </c>
      <c r="B14" s="66" t="s">
        <v>771</v>
      </c>
      <c r="C14" s="65" t="s">
        <v>774</v>
      </c>
      <c r="D14" s="227" t="str">
        <f>IFERROR(VLOOKUP(C14,ITEM_MASTER!$A:$C,2,0),"?")</f>
        <v>?</v>
      </c>
      <c r="E14" s="227" t="str">
        <f>IFERROR(VLOOKUP(C14,ITEM_MASTER!$A:$C,3,0),"?")</f>
        <v>?</v>
      </c>
      <c r="F14" s="227" t="str">
        <f>IFERROR(VLOOKUP(C14,ITEM_MASTER!$A:$D,4,0),"?")</f>
        <v>?</v>
      </c>
      <c r="G14" s="66">
        <v>15.0</v>
      </c>
      <c r="H14" s="240">
        <f t="shared" si="1"/>
        <v>0.3</v>
      </c>
      <c r="I14" s="66" t="s">
        <v>773</v>
      </c>
      <c r="J14" s="66" t="s">
        <v>722</v>
      </c>
      <c r="K14" s="66"/>
    </row>
    <row r="15">
      <c r="A15" s="228">
        <f>SUM(F2:F6)</f>
        <v>0</v>
      </c>
      <c r="B15" s="24" t="s">
        <v>758</v>
      </c>
      <c r="C15" s="228"/>
      <c r="D15" s="206" t="str">
        <f>IFERROR(VLOOKUP(C15,ITEM_MASTER!$A:$C,2,0),"?")</f>
        <v>?</v>
      </c>
      <c r="E15" s="206" t="str">
        <f>IFERROR(VLOOKUP(C15,ITEM_MASTER!$A:$C,3,0),"?")</f>
        <v>?</v>
      </c>
      <c r="F15" s="206" t="str">
        <f>IFERROR(VLOOKUP(C15,ITEM_MASTER!$A:$D,4,0),"?")</f>
        <v>?</v>
      </c>
      <c r="G15" s="24"/>
      <c r="H15" s="239" t="str">
        <f t="shared" si="1"/>
        <v>#DIV/0!</v>
      </c>
      <c r="I15" s="24"/>
      <c r="J15" s="24"/>
      <c r="K15" s="24"/>
    </row>
    <row r="16">
      <c r="A16" s="65">
        <f>SUM(F7:F10)</f>
        <v>0</v>
      </c>
      <c r="B16" s="66" t="s">
        <v>765</v>
      </c>
      <c r="C16" s="65"/>
      <c r="D16" s="227" t="str">
        <f>IFERROR(VLOOKUP(C16,ITEM_MASTER!$A:$C,2,0),"?")</f>
        <v>?</v>
      </c>
      <c r="E16" s="227" t="str">
        <f>IFERROR(VLOOKUP(C16,ITEM_MASTER!$A:$C,3,0),"?")</f>
        <v>?</v>
      </c>
      <c r="F16" s="227" t="str">
        <f>IFERROR(VLOOKUP(C16,ITEM_MASTER!$A:$D,4,0),"?")</f>
        <v>?</v>
      </c>
      <c r="G16" s="66"/>
      <c r="H16" s="240" t="str">
        <f t="shared" si="1"/>
        <v>#DIV/0!</v>
      </c>
      <c r="I16" s="66"/>
      <c r="J16" s="66"/>
      <c r="K16" s="66"/>
    </row>
    <row r="17">
      <c r="A17" s="228">
        <f>SUM(F11:F13)</f>
        <v>0</v>
      </c>
      <c r="B17" s="24" t="s">
        <v>771</v>
      </c>
      <c r="C17" s="228"/>
      <c r="D17" s="206" t="str">
        <f>IFERROR(VLOOKUP(C17,ITEM_MASTER!$A:$C,2,0),"?")</f>
        <v>?</v>
      </c>
      <c r="E17" s="206" t="str">
        <f>IFERROR(VLOOKUP(C17,ITEM_MASTER!$A:$C,3,0),"?")</f>
        <v>?</v>
      </c>
      <c r="F17" s="206" t="str">
        <f>IFERROR(VLOOKUP(C17,ITEM_MASTER!$A:$D,4,0),"?")</f>
        <v>?</v>
      </c>
      <c r="G17" s="24"/>
      <c r="H17" s="239" t="str">
        <f t="shared" si="1"/>
        <v>#DIV/0!</v>
      </c>
      <c r="I17" s="24"/>
      <c r="J17" s="24"/>
      <c r="K17" s="24"/>
    </row>
    <row r="18">
      <c r="A18" s="135"/>
      <c r="I18" s="135"/>
      <c r="J18" s="135"/>
    </row>
    <row r="19">
      <c r="A19" s="135"/>
      <c r="I19" s="135"/>
      <c r="J19" s="135"/>
    </row>
    <row r="20">
      <c r="A20" s="135"/>
      <c r="C20" s="241" t="s">
        <v>775</v>
      </c>
      <c r="D20" s="242"/>
      <c r="E20" s="242"/>
      <c r="F20" s="242"/>
      <c r="G20" s="242"/>
      <c r="H20" s="243"/>
      <c r="I20" s="135"/>
      <c r="J20" s="135"/>
    </row>
    <row r="21" ht="15.75" customHeight="1">
      <c r="A21" s="135"/>
      <c r="C21" s="244"/>
      <c r="H21" s="245"/>
      <c r="I21" s="135"/>
      <c r="J21" s="135"/>
    </row>
    <row r="22" ht="15.75" customHeight="1">
      <c r="A22" s="135"/>
      <c r="C22" s="244"/>
      <c r="H22" s="245"/>
      <c r="I22" s="135"/>
      <c r="J22" s="135"/>
    </row>
    <row r="23" ht="15.75" customHeight="1">
      <c r="A23" s="135"/>
      <c r="C23" s="244"/>
      <c r="H23" s="245"/>
      <c r="I23" s="135"/>
      <c r="J23" s="135"/>
    </row>
    <row r="24" ht="15.75" customHeight="1">
      <c r="A24" s="135"/>
      <c r="C24" s="244"/>
      <c r="H24" s="245"/>
      <c r="I24" s="135"/>
      <c r="J24" s="135"/>
    </row>
    <row r="25" ht="15.75" customHeight="1">
      <c r="A25" s="135"/>
      <c r="C25" s="246"/>
      <c r="D25" s="247"/>
      <c r="E25" s="247"/>
      <c r="F25" s="247"/>
      <c r="G25" s="247"/>
      <c r="H25" s="248"/>
      <c r="I25" s="135"/>
      <c r="J25" s="135"/>
    </row>
    <row r="26" ht="15.75" customHeight="1">
      <c r="A26" s="135"/>
      <c r="I26" s="135"/>
      <c r="J26" s="135"/>
    </row>
    <row r="27" ht="15.75" customHeight="1">
      <c r="A27" s="135"/>
      <c r="I27" s="135"/>
      <c r="J27" s="135"/>
    </row>
    <row r="28" ht="15.75" customHeight="1">
      <c r="A28" s="135"/>
      <c r="I28" s="135"/>
      <c r="J28" s="135"/>
    </row>
    <row r="29" ht="15.75" customHeight="1">
      <c r="A29" s="135"/>
      <c r="I29" s="135"/>
      <c r="J29" s="135"/>
    </row>
    <row r="30" ht="15.75" customHeight="1">
      <c r="A30" s="135"/>
      <c r="I30" s="135"/>
      <c r="J30" s="135"/>
    </row>
    <row r="31" ht="15.75" customHeight="1">
      <c r="A31" s="135"/>
      <c r="I31" s="135"/>
      <c r="J31" s="135"/>
    </row>
    <row r="32" ht="15.75" customHeight="1">
      <c r="A32" s="135"/>
      <c r="I32" s="135"/>
      <c r="J32" s="135"/>
    </row>
    <row r="33" ht="15.75" customHeight="1">
      <c r="A33" s="135"/>
      <c r="I33" s="135"/>
      <c r="J33" s="135"/>
    </row>
    <row r="34" ht="15.75" customHeight="1">
      <c r="A34" s="135"/>
      <c r="I34" s="135"/>
      <c r="J34" s="135"/>
    </row>
    <row r="35" ht="15.75" customHeight="1">
      <c r="A35" s="135"/>
      <c r="I35" s="135"/>
      <c r="J35" s="135"/>
    </row>
    <row r="36" ht="15.75" customHeight="1">
      <c r="A36" s="135"/>
      <c r="I36" s="135"/>
      <c r="J36" s="135"/>
    </row>
    <row r="37" ht="15.75" customHeight="1">
      <c r="A37" s="135"/>
      <c r="I37" s="135"/>
      <c r="J37" s="135"/>
    </row>
    <row r="38" ht="15.75" customHeight="1">
      <c r="A38" s="135"/>
      <c r="I38" s="135"/>
      <c r="J38" s="135"/>
    </row>
    <row r="39" ht="15.75" customHeight="1">
      <c r="A39" s="135"/>
      <c r="I39" s="135"/>
      <c r="J39" s="135"/>
    </row>
    <row r="40" ht="15.75" customHeight="1">
      <c r="A40" s="135"/>
      <c r="I40" s="135"/>
      <c r="J40" s="135"/>
    </row>
    <row r="41" ht="15.75" customHeight="1">
      <c r="A41" s="135"/>
      <c r="I41" s="135"/>
      <c r="J41" s="135"/>
    </row>
    <row r="42" ht="15.75" customHeight="1">
      <c r="A42" s="135"/>
      <c r="I42" s="135"/>
      <c r="J42" s="135"/>
    </row>
    <row r="43" ht="15.75" customHeight="1">
      <c r="A43" s="135"/>
      <c r="I43" s="135"/>
      <c r="J43" s="135"/>
    </row>
    <row r="44" ht="15.75" customHeight="1">
      <c r="A44" s="135"/>
      <c r="I44" s="135"/>
      <c r="J44" s="135"/>
    </row>
    <row r="45" ht="15.75" customHeight="1">
      <c r="A45" s="135"/>
      <c r="I45" s="135"/>
      <c r="J45" s="135"/>
    </row>
    <row r="46" ht="15.75" customHeight="1">
      <c r="A46" s="135"/>
      <c r="I46" s="135"/>
      <c r="J46" s="135"/>
    </row>
    <row r="47" ht="15.75" customHeight="1">
      <c r="A47" s="135"/>
      <c r="I47" s="135"/>
      <c r="J47" s="135"/>
    </row>
    <row r="48" ht="15.75" customHeight="1">
      <c r="A48" s="135"/>
      <c r="I48" s="135"/>
      <c r="J48" s="135"/>
    </row>
    <row r="49" ht="15.75" customHeight="1">
      <c r="A49" s="135"/>
      <c r="I49" s="135"/>
      <c r="J49" s="135"/>
    </row>
    <row r="50" ht="15.75" customHeight="1">
      <c r="A50" s="135"/>
      <c r="I50" s="135"/>
      <c r="J50" s="135"/>
    </row>
    <row r="51" ht="15.75" customHeight="1">
      <c r="A51" s="135"/>
      <c r="I51" s="135"/>
      <c r="J51" s="135"/>
    </row>
    <row r="52" ht="15.75" customHeight="1">
      <c r="A52" s="135"/>
      <c r="I52" s="135"/>
      <c r="J52" s="135"/>
    </row>
    <row r="53" ht="15.75" customHeight="1">
      <c r="A53" s="135"/>
      <c r="I53" s="135"/>
      <c r="J53" s="135"/>
    </row>
    <row r="54" ht="15.75" customHeight="1">
      <c r="A54" s="135"/>
      <c r="I54" s="135"/>
      <c r="J54" s="135"/>
    </row>
    <row r="55" ht="15.75" customHeight="1">
      <c r="A55" s="135"/>
      <c r="I55" s="135"/>
      <c r="J55" s="135"/>
    </row>
    <row r="56" ht="15.75" customHeight="1">
      <c r="A56" s="135"/>
      <c r="I56" s="135"/>
      <c r="J56" s="135"/>
    </row>
    <row r="57" ht="15.75" customHeight="1">
      <c r="A57" s="135"/>
      <c r="I57" s="135"/>
      <c r="J57" s="135"/>
    </row>
    <row r="58" ht="15.75" customHeight="1">
      <c r="A58" s="135"/>
      <c r="I58" s="135"/>
      <c r="J58" s="135"/>
    </row>
    <row r="59" ht="15.75" customHeight="1">
      <c r="A59" s="135"/>
      <c r="I59" s="135"/>
      <c r="J59" s="135"/>
    </row>
    <row r="60" ht="15.75" customHeight="1">
      <c r="A60" s="135"/>
      <c r="I60" s="135"/>
      <c r="J60" s="135"/>
    </row>
    <row r="61" ht="15.75" customHeight="1">
      <c r="A61" s="135"/>
      <c r="I61" s="135"/>
      <c r="J61" s="135"/>
    </row>
    <row r="62" ht="15.75" customHeight="1">
      <c r="A62" s="135"/>
      <c r="I62" s="135"/>
      <c r="J62" s="135"/>
    </row>
    <row r="63" ht="15.75" customHeight="1">
      <c r="A63" s="135"/>
      <c r="I63" s="135"/>
      <c r="J63" s="135"/>
    </row>
    <row r="64" ht="15.75" customHeight="1">
      <c r="A64" s="135"/>
      <c r="I64" s="135"/>
      <c r="J64" s="135"/>
    </row>
    <row r="65" ht="15.75" customHeight="1">
      <c r="A65" s="135"/>
      <c r="I65" s="135"/>
      <c r="J65" s="135"/>
    </row>
    <row r="66" ht="15.75" customHeight="1">
      <c r="A66" s="135"/>
      <c r="I66" s="135"/>
      <c r="J66" s="135"/>
    </row>
    <row r="67" ht="15.75" customHeight="1">
      <c r="A67" s="135"/>
      <c r="I67" s="135"/>
      <c r="J67" s="135"/>
    </row>
    <row r="68" ht="15.75" customHeight="1">
      <c r="A68" s="135"/>
      <c r="I68" s="135"/>
      <c r="J68" s="135"/>
    </row>
    <row r="69" ht="15.75" customHeight="1">
      <c r="A69" s="135"/>
      <c r="I69" s="135"/>
      <c r="J69" s="135"/>
    </row>
    <row r="70" ht="15.75" customHeight="1">
      <c r="A70" s="135"/>
      <c r="I70" s="135"/>
      <c r="J70" s="135"/>
    </row>
    <row r="71" ht="15.75" customHeight="1">
      <c r="A71" s="135"/>
      <c r="I71" s="135"/>
      <c r="J71" s="135"/>
    </row>
    <row r="72" ht="15.75" customHeight="1">
      <c r="A72" s="135"/>
      <c r="I72" s="135"/>
      <c r="J72" s="135"/>
    </row>
    <row r="73" ht="15.75" customHeight="1">
      <c r="A73" s="135"/>
      <c r="I73" s="135"/>
      <c r="J73" s="135"/>
    </row>
    <row r="74" ht="15.75" customHeight="1">
      <c r="A74" s="135"/>
      <c r="I74" s="135"/>
      <c r="J74" s="135"/>
    </row>
    <row r="75" ht="15.75" customHeight="1">
      <c r="A75" s="135"/>
      <c r="I75" s="135"/>
      <c r="J75" s="135"/>
    </row>
    <row r="76" ht="15.75" customHeight="1">
      <c r="A76" s="135"/>
      <c r="I76" s="135"/>
      <c r="J76" s="135"/>
    </row>
    <row r="77" ht="15.75" customHeight="1">
      <c r="A77" s="135"/>
      <c r="I77" s="135"/>
      <c r="J77" s="135"/>
    </row>
    <row r="78" ht="15.75" customHeight="1">
      <c r="A78" s="135"/>
      <c r="I78" s="135"/>
      <c r="J78" s="135"/>
    </row>
    <row r="79" ht="15.75" customHeight="1">
      <c r="A79" s="135"/>
      <c r="I79" s="135"/>
      <c r="J79" s="135"/>
    </row>
    <row r="80" ht="15.75" customHeight="1">
      <c r="A80" s="135"/>
      <c r="I80" s="135"/>
      <c r="J80" s="135"/>
    </row>
    <row r="81" ht="15.75" customHeight="1">
      <c r="A81" s="135"/>
      <c r="I81" s="135"/>
      <c r="J81" s="135"/>
    </row>
    <row r="82" ht="15.75" customHeight="1">
      <c r="A82" s="135"/>
      <c r="I82" s="135"/>
      <c r="J82" s="135"/>
    </row>
    <row r="83" ht="15.75" customHeight="1">
      <c r="A83" s="135"/>
      <c r="I83" s="135"/>
      <c r="J83" s="135"/>
    </row>
    <row r="84" ht="15.75" customHeight="1">
      <c r="A84" s="135"/>
      <c r="I84" s="135"/>
      <c r="J84" s="135"/>
    </row>
    <row r="85" ht="15.75" customHeight="1">
      <c r="A85" s="135"/>
      <c r="I85" s="135"/>
      <c r="J85" s="135"/>
    </row>
    <row r="86" ht="15.75" customHeight="1">
      <c r="A86" s="135"/>
      <c r="I86" s="135"/>
      <c r="J86" s="135"/>
    </row>
    <row r="87" ht="15.75" customHeight="1">
      <c r="A87" s="135"/>
      <c r="I87" s="135"/>
      <c r="J87" s="135"/>
    </row>
    <row r="88" ht="15.75" customHeight="1">
      <c r="A88" s="135"/>
      <c r="I88" s="135"/>
      <c r="J88" s="135"/>
    </row>
    <row r="89" ht="15.75" customHeight="1">
      <c r="A89" s="135"/>
      <c r="I89" s="135"/>
      <c r="J89" s="135"/>
    </row>
    <row r="90" ht="15.75" customHeight="1">
      <c r="A90" s="135"/>
      <c r="I90" s="135"/>
      <c r="J90" s="135"/>
    </row>
    <row r="91" ht="15.75" customHeight="1">
      <c r="A91" s="135"/>
      <c r="I91" s="135"/>
      <c r="J91" s="135"/>
    </row>
    <row r="92" ht="15.75" customHeight="1">
      <c r="A92" s="135"/>
      <c r="I92" s="135"/>
      <c r="J92" s="135"/>
    </row>
    <row r="93" ht="15.75" customHeight="1">
      <c r="A93" s="135"/>
      <c r="I93" s="135"/>
      <c r="J93" s="135"/>
    </row>
    <row r="94" ht="15.75" customHeight="1">
      <c r="A94" s="135"/>
      <c r="I94" s="135"/>
      <c r="J94" s="135"/>
    </row>
    <row r="95" ht="15.75" customHeight="1">
      <c r="A95" s="135"/>
      <c r="I95" s="135"/>
      <c r="J95" s="135"/>
    </row>
    <row r="96" ht="15.75" customHeight="1">
      <c r="A96" s="135"/>
      <c r="I96" s="135"/>
      <c r="J96" s="135"/>
    </row>
    <row r="97" ht="15.75" customHeight="1">
      <c r="A97" s="135"/>
      <c r="I97" s="135"/>
      <c r="J97" s="135"/>
    </row>
    <row r="98" ht="15.75" customHeight="1">
      <c r="A98" s="135"/>
      <c r="I98" s="135"/>
      <c r="J98" s="135"/>
    </row>
    <row r="99" ht="15.75" customHeight="1">
      <c r="A99" s="135"/>
      <c r="I99" s="135"/>
      <c r="J99" s="135"/>
    </row>
    <row r="100" ht="15.75" customHeight="1">
      <c r="A100" s="135"/>
      <c r="I100" s="135"/>
      <c r="J100" s="135"/>
    </row>
    <row r="101" ht="15.75" customHeight="1">
      <c r="A101" s="135"/>
      <c r="I101" s="135"/>
      <c r="J101" s="135"/>
    </row>
    <row r="102" ht="15.75" customHeight="1">
      <c r="A102" s="135"/>
      <c r="I102" s="135"/>
      <c r="J102" s="135"/>
    </row>
    <row r="103" ht="15.75" customHeight="1">
      <c r="A103" s="135"/>
      <c r="I103" s="135"/>
      <c r="J103" s="135"/>
    </row>
    <row r="104" ht="15.75" customHeight="1">
      <c r="A104" s="135"/>
      <c r="I104" s="135"/>
      <c r="J104" s="135"/>
    </row>
    <row r="105" ht="15.75" customHeight="1">
      <c r="A105" s="135"/>
      <c r="I105" s="135"/>
      <c r="J105" s="135"/>
    </row>
    <row r="106" ht="15.75" customHeight="1">
      <c r="A106" s="135"/>
      <c r="I106" s="135"/>
      <c r="J106" s="135"/>
    </row>
    <row r="107" ht="15.75" customHeight="1">
      <c r="A107" s="135"/>
      <c r="I107" s="135"/>
      <c r="J107" s="135"/>
    </row>
    <row r="108" ht="15.75" customHeight="1">
      <c r="A108" s="135"/>
      <c r="I108" s="135"/>
      <c r="J108" s="135"/>
    </row>
    <row r="109" ht="15.75" customHeight="1">
      <c r="A109" s="135"/>
      <c r="I109" s="135"/>
      <c r="J109" s="135"/>
    </row>
    <row r="110" ht="15.75" customHeight="1">
      <c r="A110" s="135"/>
      <c r="I110" s="135"/>
      <c r="J110" s="135"/>
    </row>
    <row r="111" ht="15.75" customHeight="1">
      <c r="A111" s="135"/>
      <c r="I111" s="135"/>
      <c r="J111" s="135"/>
    </row>
    <row r="112" ht="15.75" customHeight="1">
      <c r="A112" s="135"/>
      <c r="I112" s="135"/>
      <c r="J112" s="135"/>
    </row>
    <row r="113" ht="15.75" customHeight="1">
      <c r="A113" s="135"/>
      <c r="I113" s="135"/>
      <c r="J113" s="135"/>
    </row>
    <row r="114" ht="15.75" customHeight="1">
      <c r="A114" s="135"/>
      <c r="I114" s="135"/>
      <c r="J114" s="135"/>
    </row>
    <row r="115" ht="15.75" customHeight="1">
      <c r="A115" s="135"/>
      <c r="I115" s="135"/>
      <c r="J115" s="135"/>
    </row>
    <row r="116" ht="15.75" customHeight="1">
      <c r="A116" s="135"/>
      <c r="I116" s="135"/>
      <c r="J116" s="135"/>
    </row>
    <row r="117" ht="15.75" customHeight="1">
      <c r="A117" s="135"/>
      <c r="I117" s="135"/>
      <c r="J117" s="135"/>
    </row>
    <row r="118" ht="15.75" customHeight="1">
      <c r="A118" s="135"/>
      <c r="I118" s="135"/>
      <c r="J118" s="135"/>
    </row>
    <row r="119" ht="15.75" customHeight="1">
      <c r="A119" s="135"/>
      <c r="I119" s="135"/>
      <c r="J119" s="135"/>
    </row>
    <row r="120" ht="15.75" customHeight="1">
      <c r="A120" s="135"/>
      <c r="I120" s="135"/>
      <c r="J120" s="135"/>
    </row>
    <row r="121" ht="15.75" customHeight="1">
      <c r="A121" s="135"/>
      <c r="I121" s="135"/>
      <c r="J121" s="135"/>
    </row>
    <row r="122" ht="15.75" customHeight="1">
      <c r="A122" s="135"/>
      <c r="I122" s="135"/>
      <c r="J122" s="135"/>
    </row>
    <row r="123" ht="15.75" customHeight="1">
      <c r="A123" s="135"/>
      <c r="I123" s="135"/>
      <c r="J123" s="135"/>
    </row>
    <row r="124" ht="15.75" customHeight="1">
      <c r="A124" s="135"/>
      <c r="I124" s="135"/>
      <c r="J124" s="135"/>
    </row>
    <row r="125" ht="15.75" customHeight="1">
      <c r="A125" s="135"/>
      <c r="I125" s="135"/>
      <c r="J125" s="135"/>
    </row>
    <row r="126" ht="15.75" customHeight="1">
      <c r="A126" s="135"/>
      <c r="I126" s="135"/>
      <c r="J126" s="135"/>
    </row>
    <row r="127" ht="15.75" customHeight="1">
      <c r="A127" s="135"/>
      <c r="I127" s="135"/>
      <c r="J127" s="135"/>
    </row>
    <row r="128" ht="15.75" customHeight="1">
      <c r="A128" s="135"/>
      <c r="I128" s="135"/>
      <c r="J128" s="135"/>
    </row>
    <row r="129" ht="15.75" customHeight="1">
      <c r="A129" s="135"/>
      <c r="I129" s="135"/>
      <c r="J129" s="135"/>
    </row>
    <row r="130" ht="15.75" customHeight="1">
      <c r="A130" s="135"/>
      <c r="I130" s="135"/>
      <c r="J130" s="135"/>
    </row>
    <row r="131" ht="15.75" customHeight="1">
      <c r="A131" s="135"/>
      <c r="I131" s="135"/>
      <c r="J131" s="135"/>
    </row>
    <row r="132" ht="15.75" customHeight="1">
      <c r="A132" s="135"/>
      <c r="I132" s="135"/>
      <c r="J132" s="135"/>
    </row>
    <row r="133" ht="15.75" customHeight="1">
      <c r="A133" s="135"/>
      <c r="I133" s="135"/>
      <c r="J133" s="135"/>
    </row>
    <row r="134" ht="15.75" customHeight="1">
      <c r="A134" s="135"/>
      <c r="I134" s="135"/>
      <c r="J134" s="135"/>
    </row>
    <row r="135" ht="15.75" customHeight="1">
      <c r="A135" s="135"/>
      <c r="I135" s="135"/>
      <c r="J135" s="135"/>
    </row>
    <row r="136" ht="15.75" customHeight="1">
      <c r="A136" s="135"/>
      <c r="I136" s="135"/>
      <c r="J136" s="135"/>
    </row>
    <row r="137" ht="15.75" customHeight="1">
      <c r="A137" s="135"/>
      <c r="I137" s="135"/>
      <c r="J137" s="135"/>
    </row>
    <row r="138" ht="15.75" customHeight="1">
      <c r="A138" s="135"/>
      <c r="I138" s="135"/>
      <c r="J138" s="135"/>
    </row>
    <row r="139" ht="15.75" customHeight="1">
      <c r="A139" s="135"/>
      <c r="I139" s="135"/>
      <c r="J139" s="135"/>
    </row>
    <row r="140" ht="15.75" customHeight="1">
      <c r="A140" s="135"/>
      <c r="I140" s="135"/>
      <c r="J140" s="135"/>
    </row>
    <row r="141" ht="15.75" customHeight="1">
      <c r="A141" s="135"/>
      <c r="I141" s="135"/>
      <c r="J141" s="135"/>
    </row>
    <row r="142" ht="15.75" customHeight="1">
      <c r="A142" s="135"/>
      <c r="I142" s="135"/>
      <c r="J142" s="135"/>
    </row>
    <row r="143" ht="15.75" customHeight="1">
      <c r="A143" s="135"/>
      <c r="I143" s="135"/>
      <c r="J143" s="135"/>
    </row>
    <row r="144" ht="15.75" customHeight="1">
      <c r="A144" s="135"/>
      <c r="I144" s="135"/>
      <c r="J144" s="135"/>
    </row>
    <row r="145" ht="15.75" customHeight="1">
      <c r="A145" s="135"/>
      <c r="I145" s="135"/>
      <c r="J145" s="135"/>
    </row>
    <row r="146" ht="15.75" customHeight="1">
      <c r="A146" s="135"/>
      <c r="I146" s="135"/>
      <c r="J146" s="135"/>
    </row>
    <row r="147" ht="15.75" customHeight="1">
      <c r="A147" s="135"/>
      <c r="I147" s="135"/>
      <c r="J147" s="135"/>
    </row>
    <row r="148" ht="15.75" customHeight="1">
      <c r="A148" s="135"/>
      <c r="I148" s="135"/>
      <c r="J148" s="135"/>
    </row>
    <row r="149" ht="15.75" customHeight="1">
      <c r="A149" s="135"/>
      <c r="I149" s="135"/>
      <c r="J149" s="135"/>
    </row>
    <row r="150" ht="15.75" customHeight="1">
      <c r="A150" s="135"/>
      <c r="I150" s="135"/>
      <c r="J150" s="135"/>
    </row>
    <row r="151" ht="15.75" customHeight="1">
      <c r="A151" s="135"/>
      <c r="I151" s="135"/>
      <c r="J151" s="135"/>
    </row>
    <row r="152" ht="15.75" customHeight="1">
      <c r="A152" s="135"/>
      <c r="I152" s="135"/>
      <c r="J152" s="135"/>
    </row>
    <row r="153" ht="15.75" customHeight="1">
      <c r="A153" s="135"/>
      <c r="I153" s="135"/>
      <c r="J153" s="135"/>
    </row>
    <row r="154" ht="15.75" customHeight="1">
      <c r="A154" s="135"/>
      <c r="I154" s="135"/>
      <c r="J154" s="135"/>
    </row>
    <row r="155" ht="15.75" customHeight="1">
      <c r="A155" s="135"/>
      <c r="I155" s="135"/>
      <c r="J155" s="135"/>
    </row>
    <row r="156" ht="15.75" customHeight="1">
      <c r="A156" s="135"/>
      <c r="I156" s="135"/>
      <c r="J156" s="135"/>
    </row>
    <row r="157" ht="15.75" customHeight="1">
      <c r="A157" s="135"/>
      <c r="I157" s="135"/>
      <c r="J157" s="135"/>
    </row>
    <row r="158" ht="15.75" customHeight="1">
      <c r="A158" s="135"/>
      <c r="I158" s="135"/>
      <c r="J158" s="135"/>
    </row>
    <row r="159" ht="15.75" customHeight="1">
      <c r="A159" s="135"/>
      <c r="I159" s="135"/>
      <c r="J159" s="135"/>
    </row>
    <row r="160" ht="15.75" customHeight="1">
      <c r="A160" s="135"/>
      <c r="I160" s="135"/>
      <c r="J160" s="135"/>
    </row>
    <row r="161" ht="15.75" customHeight="1">
      <c r="A161" s="135"/>
      <c r="I161" s="135"/>
      <c r="J161" s="135"/>
    </row>
    <row r="162" ht="15.75" customHeight="1">
      <c r="A162" s="135"/>
      <c r="I162" s="135"/>
      <c r="J162" s="135"/>
    </row>
    <row r="163" ht="15.75" customHeight="1">
      <c r="A163" s="135"/>
      <c r="I163" s="135"/>
      <c r="J163" s="135"/>
    </row>
    <row r="164" ht="15.75" customHeight="1">
      <c r="A164" s="135"/>
      <c r="I164" s="135"/>
      <c r="J164" s="135"/>
    </row>
    <row r="165" ht="15.75" customHeight="1">
      <c r="A165" s="135"/>
      <c r="I165" s="135"/>
      <c r="J165" s="135"/>
    </row>
    <row r="166" ht="15.75" customHeight="1">
      <c r="A166" s="135"/>
      <c r="I166" s="135"/>
      <c r="J166" s="135"/>
    </row>
    <row r="167" ht="15.75" customHeight="1">
      <c r="A167" s="135"/>
      <c r="I167" s="135"/>
      <c r="J167" s="135"/>
    </row>
    <row r="168" ht="15.75" customHeight="1">
      <c r="A168" s="135"/>
      <c r="I168" s="135"/>
      <c r="J168" s="135"/>
    </row>
    <row r="169" ht="15.75" customHeight="1">
      <c r="A169" s="135"/>
      <c r="I169" s="135"/>
      <c r="J169" s="135"/>
    </row>
    <row r="170" ht="15.75" customHeight="1">
      <c r="A170" s="135"/>
      <c r="I170" s="135"/>
      <c r="J170" s="135"/>
    </row>
    <row r="171" ht="15.75" customHeight="1">
      <c r="A171" s="135"/>
      <c r="I171" s="135"/>
      <c r="J171" s="135"/>
    </row>
    <row r="172" ht="15.75" customHeight="1">
      <c r="A172" s="135"/>
      <c r="I172" s="135"/>
      <c r="J172" s="135"/>
    </row>
    <row r="173" ht="15.75" customHeight="1">
      <c r="A173" s="135"/>
      <c r="I173" s="135"/>
      <c r="J173" s="135"/>
    </row>
    <row r="174" ht="15.75" customHeight="1">
      <c r="A174" s="135"/>
      <c r="I174" s="135"/>
      <c r="J174" s="135"/>
    </row>
    <row r="175" ht="15.75" customHeight="1">
      <c r="A175" s="135"/>
      <c r="I175" s="135"/>
      <c r="J175" s="135"/>
    </row>
    <row r="176" ht="15.75" customHeight="1">
      <c r="A176" s="135"/>
      <c r="I176" s="135"/>
      <c r="J176" s="135"/>
    </row>
    <row r="177" ht="15.75" customHeight="1">
      <c r="A177" s="135"/>
      <c r="I177" s="135"/>
      <c r="J177" s="135"/>
    </row>
    <row r="178" ht="15.75" customHeight="1">
      <c r="A178" s="135"/>
      <c r="I178" s="135"/>
      <c r="J178" s="135"/>
    </row>
    <row r="179" ht="15.75" customHeight="1">
      <c r="A179" s="135"/>
      <c r="I179" s="135"/>
      <c r="J179" s="135"/>
    </row>
    <row r="180" ht="15.75" customHeight="1">
      <c r="A180" s="135"/>
      <c r="I180" s="135"/>
      <c r="J180" s="135"/>
    </row>
    <row r="181" ht="15.75" customHeight="1">
      <c r="A181" s="135"/>
      <c r="I181" s="135"/>
      <c r="J181" s="135"/>
    </row>
    <row r="182" ht="15.75" customHeight="1">
      <c r="A182" s="135"/>
      <c r="I182" s="135"/>
      <c r="J182" s="135"/>
    </row>
    <row r="183" ht="15.75" customHeight="1">
      <c r="A183" s="135"/>
      <c r="I183" s="135"/>
      <c r="J183" s="135"/>
    </row>
    <row r="184" ht="15.75" customHeight="1">
      <c r="A184" s="135"/>
      <c r="I184" s="135"/>
      <c r="J184" s="135"/>
    </row>
    <row r="185" ht="15.75" customHeight="1">
      <c r="A185" s="135"/>
      <c r="I185" s="135"/>
      <c r="J185" s="135"/>
    </row>
    <row r="186" ht="15.75" customHeight="1">
      <c r="A186" s="135"/>
      <c r="I186" s="135"/>
      <c r="J186" s="135"/>
    </row>
    <row r="187" ht="15.75" customHeight="1">
      <c r="A187" s="135"/>
      <c r="I187" s="135"/>
      <c r="J187" s="135"/>
    </row>
    <row r="188" ht="15.75" customHeight="1">
      <c r="A188" s="135"/>
      <c r="I188" s="135"/>
      <c r="J188" s="135"/>
    </row>
    <row r="189" ht="15.75" customHeight="1">
      <c r="A189" s="135"/>
      <c r="I189" s="135"/>
      <c r="J189" s="135"/>
    </row>
    <row r="190" ht="15.75" customHeight="1">
      <c r="A190" s="135"/>
      <c r="I190" s="135"/>
      <c r="J190" s="135"/>
    </row>
    <row r="191" ht="15.75" customHeight="1">
      <c r="A191" s="135"/>
      <c r="I191" s="135"/>
      <c r="J191" s="135"/>
    </row>
    <row r="192" ht="15.75" customHeight="1">
      <c r="A192" s="135"/>
      <c r="I192" s="135"/>
      <c r="J192" s="135"/>
    </row>
    <row r="193" ht="15.75" customHeight="1">
      <c r="A193" s="135"/>
      <c r="I193" s="135"/>
      <c r="J193" s="135"/>
    </row>
    <row r="194" ht="15.75" customHeight="1">
      <c r="A194" s="135"/>
      <c r="I194" s="135"/>
      <c r="J194" s="135"/>
    </row>
    <row r="195" ht="15.75" customHeight="1">
      <c r="A195" s="135"/>
      <c r="I195" s="135"/>
      <c r="J195" s="135"/>
    </row>
    <row r="196" ht="15.75" customHeight="1">
      <c r="A196" s="135"/>
      <c r="I196" s="135"/>
      <c r="J196" s="135"/>
    </row>
    <row r="197" ht="15.75" customHeight="1">
      <c r="A197" s="135"/>
      <c r="I197" s="135"/>
      <c r="J197" s="135"/>
    </row>
    <row r="198" ht="15.75" customHeight="1">
      <c r="A198" s="135"/>
      <c r="I198" s="135"/>
      <c r="J198" s="135"/>
    </row>
    <row r="199" ht="15.75" customHeight="1">
      <c r="A199" s="135"/>
      <c r="I199" s="135"/>
      <c r="J199" s="135"/>
    </row>
    <row r="200" ht="15.75" customHeight="1">
      <c r="A200" s="135"/>
      <c r="I200" s="135"/>
      <c r="J200" s="135"/>
    </row>
    <row r="201" ht="15.75" customHeight="1">
      <c r="A201" s="135"/>
      <c r="I201" s="135"/>
      <c r="J201" s="135"/>
    </row>
    <row r="202" ht="15.75" customHeight="1">
      <c r="A202" s="135"/>
      <c r="I202" s="135"/>
      <c r="J202" s="135"/>
    </row>
    <row r="203" ht="15.75" customHeight="1">
      <c r="A203" s="135"/>
      <c r="I203" s="135"/>
      <c r="J203" s="135"/>
    </row>
    <row r="204" ht="15.75" customHeight="1">
      <c r="A204" s="135"/>
      <c r="I204" s="135"/>
      <c r="J204" s="135"/>
    </row>
    <row r="205" ht="15.75" customHeight="1">
      <c r="A205" s="135"/>
      <c r="I205" s="135"/>
      <c r="J205" s="135"/>
    </row>
    <row r="206" ht="15.75" customHeight="1">
      <c r="A206" s="135"/>
      <c r="I206" s="135"/>
      <c r="J206" s="135"/>
    </row>
    <row r="207" ht="15.75" customHeight="1">
      <c r="A207" s="135"/>
      <c r="I207" s="135"/>
      <c r="J207" s="135"/>
    </row>
    <row r="208" ht="15.75" customHeight="1">
      <c r="A208" s="135"/>
      <c r="I208" s="135"/>
      <c r="J208" s="135"/>
    </row>
    <row r="209" ht="15.75" customHeight="1">
      <c r="A209" s="135"/>
      <c r="I209" s="135"/>
      <c r="J209" s="135"/>
    </row>
    <row r="210" ht="15.75" customHeight="1">
      <c r="A210" s="135"/>
      <c r="I210" s="135"/>
      <c r="J210" s="135"/>
    </row>
    <row r="211" ht="15.75" customHeight="1">
      <c r="A211" s="135"/>
      <c r="I211" s="135"/>
      <c r="J211" s="135"/>
    </row>
    <row r="212" ht="15.75" customHeight="1">
      <c r="A212" s="135"/>
      <c r="I212" s="135"/>
      <c r="J212" s="135"/>
    </row>
    <row r="213" ht="15.75" customHeight="1">
      <c r="A213" s="135"/>
      <c r="I213" s="135"/>
      <c r="J213" s="135"/>
    </row>
    <row r="214" ht="15.75" customHeight="1">
      <c r="A214" s="135"/>
      <c r="I214" s="135"/>
      <c r="J214" s="135"/>
    </row>
    <row r="215" ht="15.75" customHeight="1">
      <c r="A215" s="135"/>
      <c r="I215" s="135"/>
      <c r="J215" s="135"/>
    </row>
    <row r="216" ht="15.75" customHeight="1">
      <c r="A216" s="135"/>
      <c r="I216" s="135"/>
      <c r="J216" s="135"/>
    </row>
    <row r="217" ht="15.75" customHeight="1">
      <c r="A217" s="135"/>
      <c r="I217" s="135"/>
      <c r="J217" s="135"/>
    </row>
    <row r="218" ht="15.75" customHeight="1">
      <c r="A218" s="135"/>
      <c r="I218" s="135"/>
      <c r="J218" s="135"/>
    </row>
    <row r="219" ht="15.75" customHeight="1">
      <c r="A219" s="135"/>
      <c r="I219" s="135"/>
      <c r="J219" s="135"/>
    </row>
    <row r="220" ht="15.75" customHeight="1">
      <c r="A220" s="135"/>
      <c r="I220" s="135"/>
      <c r="J220" s="135"/>
    </row>
    <row r="221" ht="15.75" customHeight="1">
      <c r="A221" s="135"/>
      <c r="I221" s="135"/>
      <c r="J221" s="135"/>
    </row>
    <row r="222" ht="15.75" customHeight="1">
      <c r="A222" s="135"/>
      <c r="I222" s="135"/>
      <c r="J222" s="135"/>
    </row>
    <row r="223" ht="15.75" customHeight="1">
      <c r="A223" s="135"/>
      <c r="I223" s="135"/>
      <c r="J223" s="135"/>
    </row>
    <row r="224" ht="15.75" customHeight="1">
      <c r="A224" s="135"/>
      <c r="I224" s="135"/>
      <c r="J224" s="135"/>
    </row>
    <row r="225" ht="15.75" customHeight="1">
      <c r="A225" s="135"/>
      <c r="I225" s="135"/>
      <c r="J225" s="135"/>
    </row>
    <row r="226" ht="15.75" customHeight="1">
      <c r="A226" s="135"/>
      <c r="I226" s="135"/>
      <c r="J226" s="135"/>
    </row>
    <row r="227" ht="15.75" customHeight="1">
      <c r="A227" s="135"/>
      <c r="I227" s="135"/>
      <c r="J227" s="135"/>
    </row>
    <row r="228" ht="15.75" customHeight="1">
      <c r="A228" s="135"/>
      <c r="I228" s="135"/>
      <c r="J228" s="135"/>
    </row>
    <row r="229" ht="15.75" customHeight="1">
      <c r="A229" s="135"/>
      <c r="I229" s="135"/>
      <c r="J229" s="135"/>
    </row>
    <row r="230" ht="15.75" customHeight="1">
      <c r="A230" s="135"/>
      <c r="I230" s="135"/>
      <c r="J230" s="135"/>
    </row>
    <row r="231" ht="15.75" customHeight="1">
      <c r="A231" s="135"/>
      <c r="I231" s="135"/>
      <c r="J231" s="135"/>
    </row>
    <row r="232" ht="15.75" customHeight="1">
      <c r="A232" s="135"/>
      <c r="I232" s="135"/>
      <c r="J232" s="135"/>
    </row>
    <row r="233" ht="15.75" customHeight="1">
      <c r="A233" s="135"/>
      <c r="I233" s="135"/>
      <c r="J233" s="135"/>
    </row>
    <row r="234" ht="15.75" customHeight="1">
      <c r="A234" s="135"/>
      <c r="I234" s="135"/>
      <c r="J234" s="135"/>
    </row>
    <row r="235" ht="15.75" customHeight="1">
      <c r="A235" s="135"/>
      <c r="I235" s="135"/>
      <c r="J235" s="135"/>
    </row>
    <row r="236" ht="15.75" customHeight="1">
      <c r="A236" s="135"/>
      <c r="I236" s="135"/>
      <c r="J236" s="135"/>
    </row>
    <row r="237" ht="15.75" customHeight="1">
      <c r="A237" s="135"/>
      <c r="I237" s="135"/>
      <c r="J237" s="135"/>
    </row>
    <row r="238" ht="15.75" customHeight="1">
      <c r="A238" s="135"/>
      <c r="I238" s="135"/>
      <c r="J238" s="135"/>
    </row>
    <row r="239" ht="15.75" customHeight="1">
      <c r="A239" s="135"/>
      <c r="I239" s="135"/>
      <c r="J239" s="135"/>
    </row>
    <row r="240" ht="15.75" customHeight="1">
      <c r="A240" s="135"/>
      <c r="I240" s="135"/>
      <c r="J240" s="135"/>
    </row>
    <row r="241" ht="15.75" customHeight="1">
      <c r="A241" s="135"/>
      <c r="I241" s="135"/>
      <c r="J241" s="135"/>
    </row>
    <row r="242" ht="15.75" customHeight="1">
      <c r="A242" s="135"/>
      <c r="I242" s="135"/>
      <c r="J242" s="135"/>
    </row>
    <row r="243" ht="15.75" customHeight="1">
      <c r="A243" s="135"/>
      <c r="I243" s="135"/>
      <c r="J243" s="135"/>
    </row>
    <row r="244" ht="15.75" customHeight="1">
      <c r="A244" s="135"/>
      <c r="I244" s="135"/>
      <c r="J244" s="135"/>
    </row>
    <row r="245" ht="15.75" customHeight="1">
      <c r="A245" s="135"/>
      <c r="I245" s="135"/>
      <c r="J245" s="135"/>
    </row>
    <row r="246" ht="15.75" customHeight="1">
      <c r="A246" s="135"/>
      <c r="I246" s="135"/>
      <c r="J246" s="135"/>
    </row>
    <row r="247" ht="15.75" customHeight="1">
      <c r="A247" s="135"/>
      <c r="I247" s="135"/>
      <c r="J247" s="135"/>
    </row>
    <row r="248" ht="15.75" customHeight="1">
      <c r="A248" s="135"/>
      <c r="I248" s="135"/>
      <c r="J248" s="135"/>
    </row>
    <row r="249" ht="15.75" customHeight="1">
      <c r="A249" s="135"/>
      <c r="I249" s="135"/>
      <c r="J249" s="135"/>
    </row>
    <row r="250" ht="15.75" customHeight="1">
      <c r="A250" s="135"/>
      <c r="I250" s="135"/>
      <c r="J250" s="135"/>
    </row>
    <row r="251" ht="15.75" customHeight="1">
      <c r="A251" s="135"/>
      <c r="I251" s="135"/>
      <c r="J251" s="135"/>
    </row>
    <row r="252" ht="15.75" customHeight="1">
      <c r="A252" s="135"/>
      <c r="I252" s="135"/>
      <c r="J252" s="135"/>
    </row>
    <row r="253" ht="15.75" customHeight="1">
      <c r="A253" s="135"/>
      <c r="I253" s="135"/>
      <c r="J253" s="135"/>
    </row>
    <row r="254" ht="15.75" customHeight="1">
      <c r="A254" s="135"/>
      <c r="I254" s="135"/>
      <c r="J254" s="135"/>
    </row>
    <row r="255" ht="15.75" customHeight="1">
      <c r="A255" s="135"/>
      <c r="I255" s="135"/>
      <c r="J255" s="135"/>
    </row>
    <row r="256" ht="15.75" customHeight="1">
      <c r="A256" s="135"/>
      <c r="I256" s="135"/>
      <c r="J256" s="135"/>
    </row>
    <row r="257" ht="15.75" customHeight="1">
      <c r="A257" s="135"/>
      <c r="I257" s="135"/>
      <c r="J257" s="135"/>
    </row>
    <row r="258" ht="15.75" customHeight="1">
      <c r="A258" s="135"/>
      <c r="I258" s="135"/>
      <c r="J258" s="135"/>
    </row>
    <row r="259" ht="15.75" customHeight="1">
      <c r="A259" s="135"/>
      <c r="I259" s="135"/>
      <c r="J259" s="135"/>
    </row>
    <row r="260" ht="15.75" customHeight="1">
      <c r="A260" s="135"/>
      <c r="I260" s="135"/>
      <c r="J260" s="135"/>
    </row>
    <row r="261" ht="15.75" customHeight="1">
      <c r="A261" s="135"/>
      <c r="I261" s="135"/>
      <c r="J261" s="135"/>
    </row>
    <row r="262" ht="15.75" customHeight="1">
      <c r="A262" s="135"/>
      <c r="I262" s="135"/>
      <c r="J262" s="135"/>
    </row>
    <row r="263" ht="15.75" customHeight="1">
      <c r="A263" s="135"/>
      <c r="I263" s="135"/>
      <c r="J263" s="135"/>
    </row>
    <row r="264" ht="15.75" customHeight="1">
      <c r="A264" s="135"/>
      <c r="I264" s="135"/>
      <c r="J264" s="135"/>
    </row>
    <row r="265" ht="15.75" customHeight="1">
      <c r="A265" s="135"/>
      <c r="I265" s="135"/>
      <c r="J265" s="135"/>
    </row>
    <row r="266" ht="15.75" customHeight="1">
      <c r="A266" s="135"/>
      <c r="I266" s="135"/>
      <c r="J266" s="135"/>
    </row>
    <row r="267" ht="15.75" customHeight="1">
      <c r="A267" s="135"/>
      <c r="I267" s="135"/>
      <c r="J267" s="135"/>
    </row>
    <row r="268" ht="15.75" customHeight="1">
      <c r="A268" s="135"/>
      <c r="I268" s="135"/>
      <c r="J268" s="135"/>
    </row>
    <row r="269" ht="15.75" customHeight="1">
      <c r="A269" s="135"/>
      <c r="I269" s="135"/>
      <c r="J269" s="135"/>
    </row>
    <row r="270" ht="15.75" customHeight="1">
      <c r="A270" s="135"/>
      <c r="I270" s="135"/>
      <c r="J270" s="135"/>
    </row>
    <row r="271" ht="15.75" customHeight="1">
      <c r="A271" s="135"/>
      <c r="I271" s="135"/>
      <c r="J271" s="135"/>
    </row>
    <row r="272" ht="15.75" customHeight="1">
      <c r="A272" s="135"/>
      <c r="I272" s="135"/>
      <c r="J272" s="135"/>
    </row>
    <row r="273" ht="15.75" customHeight="1">
      <c r="A273" s="135"/>
      <c r="I273" s="135"/>
      <c r="J273" s="135"/>
    </row>
    <row r="274" ht="15.75" customHeight="1">
      <c r="A274" s="135"/>
      <c r="I274" s="135"/>
      <c r="J274" s="135"/>
    </row>
    <row r="275" ht="15.75" customHeight="1">
      <c r="A275" s="135"/>
      <c r="I275" s="135"/>
      <c r="J275" s="135"/>
    </row>
    <row r="276" ht="15.75" customHeight="1">
      <c r="A276" s="135"/>
      <c r="I276" s="135"/>
      <c r="J276" s="135"/>
    </row>
    <row r="277" ht="15.75" customHeight="1">
      <c r="A277" s="135"/>
      <c r="I277" s="135"/>
      <c r="J277" s="135"/>
    </row>
    <row r="278" ht="15.75" customHeight="1">
      <c r="A278" s="135"/>
      <c r="I278" s="135"/>
      <c r="J278" s="135"/>
    </row>
    <row r="279" ht="15.75" customHeight="1">
      <c r="A279" s="135"/>
      <c r="I279" s="135"/>
      <c r="J279" s="135"/>
    </row>
    <row r="280" ht="15.75" customHeight="1">
      <c r="A280" s="135"/>
      <c r="I280" s="135"/>
      <c r="J280" s="135"/>
    </row>
    <row r="281" ht="15.75" customHeight="1">
      <c r="A281" s="135"/>
      <c r="I281" s="135"/>
      <c r="J281" s="135"/>
    </row>
    <row r="282" ht="15.75" customHeight="1">
      <c r="A282" s="135"/>
      <c r="I282" s="135"/>
      <c r="J282" s="135"/>
    </row>
    <row r="283" ht="15.75" customHeight="1">
      <c r="A283" s="135"/>
      <c r="I283" s="135"/>
      <c r="J283" s="135"/>
    </row>
    <row r="284" ht="15.75" customHeight="1">
      <c r="A284" s="135"/>
      <c r="I284" s="135"/>
      <c r="J284" s="135"/>
    </row>
    <row r="285" ht="15.75" customHeight="1">
      <c r="A285" s="135"/>
      <c r="I285" s="135"/>
      <c r="J285" s="135"/>
    </row>
    <row r="286" ht="15.75" customHeight="1">
      <c r="A286" s="135"/>
      <c r="I286" s="135"/>
      <c r="J286" s="135"/>
    </row>
    <row r="287" ht="15.75" customHeight="1">
      <c r="A287" s="135"/>
      <c r="I287" s="135"/>
      <c r="J287" s="135"/>
    </row>
    <row r="288" ht="15.75" customHeight="1">
      <c r="A288" s="135"/>
      <c r="I288" s="135"/>
      <c r="J288" s="135"/>
    </row>
    <row r="289" ht="15.75" customHeight="1">
      <c r="A289" s="135"/>
      <c r="I289" s="135"/>
      <c r="J289" s="135"/>
    </row>
    <row r="290" ht="15.75" customHeight="1">
      <c r="A290" s="135"/>
      <c r="I290" s="135"/>
      <c r="J290" s="135"/>
    </row>
    <row r="291" ht="15.75" customHeight="1">
      <c r="A291" s="135"/>
      <c r="I291" s="135"/>
      <c r="J291" s="135"/>
    </row>
    <row r="292" ht="15.75" customHeight="1">
      <c r="A292" s="135"/>
      <c r="I292" s="135"/>
      <c r="J292" s="135"/>
    </row>
    <row r="293" ht="15.75" customHeight="1">
      <c r="A293" s="135"/>
      <c r="I293" s="135"/>
      <c r="J293" s="135"/>
    </row>
    <row r="294" ht="15.75" customHeight="1">
      <c r="A294" s="135"/>
      <c r="I294" s="135"/>
      <c r="J294" s="135"/>
    </row>
    <row r="295" ht="15.75" customHeight="1">
      <c r="A295" s="135"/>
      <c r="I295" s="135"/>
      <c r="J295" s="135"/>
    </row>
    <row r="296" ht="15.75" customHeight="1">
      <c r="A296" s="135"/>
      <c r="I296" s="135"/>
      <c r="J296" s="135"/>
    </row>
    <row r="297" ht="15.75" customHeight="1">
      <c r="A297" s="135"/>
      <c r="I297" s="135"/>
      <c r="J297" s="135"/>
    </row>
    <row r="298" ht="15.75" customHeight="1">
      <c r="A298" s="135"/>
      <c r="I298" s="135"/>
      <c r="J298" s="135"/>
    </row>
    <row r="299" ht="15.75" customHeight="1">
      <c r="A299" s="135"/>
      <c r="I299" s="135"/>
      <c r="J299" s="135"/>
    </row>
    <row r="300" ht="15.75" customHeight="1">
      <c r="A300" s="135"/>
      <c r="I300" s="135"/>
      <c r="J300" s="135"/>
    </row>
    <row r="301" ht="15.75" customHeight="1">
      <c r="A301" s="135"/>
      <c r="I301" s="135"/>
      <c r="J301" s="135"/>
    </row>
    <row r="302" ht="15.75" customHeight="1">
      <c r="A302" s="135"/>
      <c r="I302" s="135"/>
      <c r="J302" s="135"/>
    </row>
    <row r="303" ht="15.75" customHeight="1">
      <c r="A303" s="135"/>
      <c r="I303" s="135"/>
      <c r="J303" s="135"/>
    </row>
    <row r="304" ht="15.75" customHeight="1">
      <c r="A304" s="135"/>
      <c r="I304" s="135"/>
      <c r="J304" s="135"/>
    </row>
    <row r="305" ht="15.75" customHeight="1">
      <c r="A305" s="135"/>
      <c r="I305" s="135"/>
      <c r="J305" s="135"/>
    </row>
    <row r="306" ht="15.75" customHeight="1">
      <c r="A306" s="135"/>
      <c r="I306" s="135"/>
      <c r="J306" s="135"/>
    </row>
    <row r="307" ht="15.75" customHeight="1">
      <c r="A307" s="135"/>
      <c r="I307" s="135"/>
      <c r="J307" s="135"/>
    </row>
    <row r="308" ht="15.75" customHeight="1">
      <c r="A308" s="135"/>
      <c r="I308" s="135"/>
      <c r="J308" s="135"/>
    </row>
    <row r="309" ht="15.75" customHeight="1">
      <c r="A309" s="135"/>
      <c r="I309" s="135"/>
      <c r="J309" s="135"/>
    </row>
    <row r="310" ht="15.75" customHeight="1">
      <c r="A310" s="135"/>
      <c r="I310" s="135"/>
      <c r="J310" s="135"/>
    </row>
    <row r="311" ht="15.75" customHeight="1">
      <c r="A311" s="135"/>
      <c r="I311" s="135"/>
      <c r="J311" s="135"/>
    </row>
    <row r="312" ht="15.75" customHeight="1">
      <c r="A312" s="135"/>
      <c r="I312" s="135"/>
      <c r="J312" s="135"/>
    </row>
    <row r="313" ht="15.75" customHeight="1">
      <c r="A313" s="135"/>
      <c r="I313" s="135"/>
      <c r="J313" s="135"/>
    </row>
    <row r="314" ht="15.75" customHeight="1">
      <c r="A314" s="135"/>
      <c r="I314" s="135"/>
      <c r="J314" s="135"/>
    </row>
    <row r="315" ht="15.75" customHeight="1">
      <c r="A315" s="135"/>
      <c r="I315" s="135"/>
      <c r="J315" s="135"/>
    </row>
    <row r="316" ht="15.75" customHeight="1">
      <c r="A316" s="135"/>
      <c r="I316" s="135"/>
      <c r="J316" s="135"/>
    </row>
    <row r="317" ht="15.75" customHeight="1">
      <c r="A317" s="135"/>
      <c r="I317" s="135"/>
      <c r="J317" s="135"/>
    </row>
    <row r="318" ht="15.75" customHeight="1">
      <c r="A318" s="135"/>
      <c r="I318" s="135"/>
      <c r="J318" s="135"/>
    </row>
    <row r="319" ht="15.75" customHeight="1">
      <c r="A319" s="135"/>
      <c r="I319" s="135"/>
      <c r="J319" s="135"/>
    </row>
    <row r="320" ht="15.75" customHeight="1">
      <c r="A320" s="135"/>
      <c r="I320" s="135"/>
      <c r="J320" s="135"/>
    </row>
    <row r="321" ht="15.75" customHeight="1">
      <c r="A321" s="135"/>
      <c r="I321" s="135"/>
      <c r="J321" s="135"/>
    </row>
    <row r="322" ht="15.75" customHeight="1">
      <c r="A322" s="135"/>
      <c r="I322" s="135"/>
      <c r="J322" s="135"/>
    </row>
    <row r="323" ht="15.75" customHeight="1">
      <c r="A323" s="135"/>
      <c r="I323" s="135"/>
      <c r="J323" s="135"/>
    </row>
    <row r="324" ht="15.75" customHeight="1">
      <c r="A324" s="135"/>
      <c r="I324" s="135"/>
      <c r="J324" s="135"/>
    </row>
    <row r="325" ht="15.75" customHeight="1">
      <c r="A325" s="135"/>
      <c r="I325" s="135"/>
      <c r="J325" s="135"/>
    </row>
    <row r="326" ht="15.75" customHeight="1">
      <c r="A326" s="135"/>
      <c r="I326" s="135"/>
      <c r="J326" s="135"/>
    </row>
    <row r="327" ht="15.75" customHeight="1">
      <c r="A327" s="135"/>
      <c r="I327" s="135"/>
      <c r="J327" s="135"/>
    </row>
    <row r="328" ht="15.75" customHeight="1">
      <c r="A328" s="135"/>
      <c r="I328" s="135"/>
      <c r="J328" s="135"/>
    </row>
    <row r="329" ht="15.75" customHeight="1">
      <c r="A329" s="135"/>
      <c r="I329" s="135"/>
      <c r="J329" s="135"/>
    </row>
    <row r="330" ht="15.75" customHeight="1">
      <c r="A330" s="135"/>
      <c r="I330" s="135"/>
      <c r="J330" s="135"/>
    </row>
    <row r="331" ht="15.75" customHeight="1">
      <c r="A331" s="135"/>
      <c r="I331" s="135"/>
      <c r="J331" s="135"/>
    </row>
    <row r="332" ht="15.75" customHeight="1">
      <c r="A332" s="135"/>
      <c r="I332" s="135"/>
      <c r="J332" s="135"/>
    </row>
    <row r="333" ht="15.75" customHeight="1">
      <c r="A333" s="135"/>
      <c r="I333" s="135"/>
      <c r="J333" s="135"/>
    </row>
    <row r="334" ht="15.75" customHeight="1">
      <c r="A334" s="135"/>
      <c r="I334" s="135"/>
      <c r="J334" s="135"/>
    </row>
    <row r="335" ht="15.75" customHeight="1">
      <c r="A335" s="135"/>
      <c r="I335" s="135"/>
      <c r="J335" s="135"/>
    </row>
    <row r="336" ht="15.75" customHeight="1">
      <c r="A336" s="135"/>
      <c r="I336" s="135"/>
      <c r="J336" s="135"/>
    </row>
    <row r="337" ht="15.75" customHeight="1">
      <c r="A337" s="135"/>
      <c r="I337" s="135"/>
      <c r="J337" s="135"/>
    </row>
    <row r="338" ht="15.75" customHeight="1">
      <c r="A338" s="135"/>
      <c r="I338" s="135"/>
      <c r="J338" s="135"/>
    </row>
    <row r="339" ht="15.75" customHeight="1">
      <c r="A339" s="135"/>
      <c r="I339" s="135"/>
      <c r="J339" s="135"/>
    </row>
    <row r="340" ht="15.75" customHeight="1">
      <c r="A340" s="135"/>
      <c r="I340" s="135"/>
      <c r="J340" s="135"/>
    </row>
    <row r="341" ht="15.75" customHeight="1">
      <c r="A341" s="135"/>
      <c r="I341" s="135"/>
      <c r="J341" s="135"/>
    </row>
    <row r="342" ht="15.75" customHeight="1">
      <c r="A342" s="135"/>
      <c r="I342" s="135"/>
      <c r="J342" s="135"/>
    </row>
    <row r="343" ht="15.75" customHeight="1">
      <c r="A343" s="135"/>
      <c r="I343" s="135"/>
      <c r="J343" s="135"/>
    </row>
    <row r="344" ht="15.75" customHeight="1">
      <c r="A344" s="135"/>
      <c r="I344" s="135"/>
      <c r="J344" s="135"/>
    </row>
    <row r="345" ht="15.75" customHeight="1">
      <c r="A345" s="135"/>
      <c r="I345" s="135"/>
      <c r="J345" s="135"/>
    </row>
    <row r="346" ht="15.75" customHeight="1">
      <c r="A346" s="135"/>
      <c r="I346" s="135"/>
      <c r="J346" s="135"/>
    </row>
    <row r="347" ht="15.75" customHeight="1">
      <c r="A347" s="135"/>
      <c r="I347" s="135"/>
      <c r="J347" s="135"/>
    </row>
    <row r="348" ht="15.75" customHeight="1">
      <c r="A348" s="135"/>
      <c r="I348" s="135"/>
      <c r="J348" s="135"/>
    </row>
    <row r="349" ht="15.75" customHeight="1">
      <c r="A349" s="135"/>
      <c r="I349" s="135"/>
      <c r="J349" s="135"/>
    </row>
    <row r="350" ht="15.75" customHeight="1">
      <c r="A350" s="135"/>
      <c r="I350" s="135"/>
      <c r="J350" s="135"/>
    </row>
    <row r="351" ht="15.75" customHeight="1">
      <c r="A351" s="135"/>
      <c r="I351" s="135"/>
      <c r="J351" s="135"/>
    </row>
    <row r="352" ht="15.75" customHeight="1">
      <c r="A352" s="135"/>
      <c r="I352" s="135"/>
      <c r="J352" s="135"/>
    </row>
    <row r="353" ht="15.75" customHeight="1">
      <c r="A353" s="135"/>
      <c r="I353" s="135"/>
      <c r="J353" s="135"/>
    </row>
    <row r="354" ht="15.75" customHeight="1">
      <c r="A354" s="135"/>
      <c r="I354" s="135"/>
      <c r="J354" s="135"/>
    </row>
    <row r="355" ht="15.75" customHeight="1">
      <c r="A355" s="135"/>
      <c r="I355" s="135"/>
      <c r="J355" s="135"/>
    </row>
    <row r="356" ht="15.75" customHeight="1">
      <c r="A356" s="135"/>
      <c r="I356" s="135"/>
      <c r="J356" s="135"/>
    </row>
    <row r="357" ht="15.75" customHeight="1">
      <c r="A357" s="135"/>
      <c r="I357" s="135"/>
      <c r="J357" s="135"/>
    </row>
    <row r="358" ht="15.75" customHeight="1">
      <c r="A358" s="135"/>
      <c r="I358" s="135"/>
      <c r="J358" s="135"/>
    </row>
    <row r="359" ht="15.75" customHeight="1">
      <c r="A359" s="135"/>
      <c r="I359" s="135"/>
      <c r="J359" s="135"/>
    </row>
    <row r="360" ht="15.75" customHeight="1">
      <c r="A360" s="135"/>
      <c r="I360" s="135"/>
      <c r="J360" s="135"/>
    </row>
    <row r="361" ht="15.75" customHeight="1">
      <c r="A361" s="135"/>
      <c r="I361" s="135"/>
      <c r="J361" s="135"/>
    </row>
    <row r="362" ht="15.75" customHeight="1">
      <c r="A362" s="135"/>
      <c r="I362" s="135"/>
      <c r="J362" s="135"/>
    </row>
    <row r="363" ht="15.75" customHeight="1">
      <c r="A363" s="135"/>
      <c r="I363" s="135"/>
      <c r="J363" s="135"/>
    </row>
    <row r="364" ht="15.75" customHeight="1">
      <c r="A364" s="135"/>
      <c r="I364" s="135"/>
      <c r="J364" s="135"/>
    </row>
    <row r="365" ht="15.75" customHeight="1">
      <c r="A365" s="135"/>
      <c r="I365" s="135"/>
      <c r="J365" s="135"/>
    </row>
    <row r="366" ht="15.75" customHeight="1">
      <c r="A366" s="135"/>
      <c r="I366" s="135"/>
      <c r="J366" s="135"/>
    </row>
    <row r="367" ht="15.75" customHeight="1">
      <c r="A367" s="135"/>
      <c r="I367" s="135"/>
      <c r="J367" s="135"/>
    </row>
    <row r="368" ht="15.75" customHeight="1">
      <c r="A368" s="135"/>
      <c r="I368" s="135"/>
      <c r="J368" s="135"/>
    </row>
    <row r="369" ht="15.75" customHeight="1">
      <c r="A369" s="135"/>
      <c r="I369" s="135"/>
      <c r="J369" s="135"/>
    </row>
    <row r="370" ht="15.75" customHeight="1">
      <c r="A370" s="135"/>
      <c r="I370" s="135"/>
      <c r="J370" s="135"/>
    </row>
    <row r="371" ht="15.75" customHeight="1">
      <c r="A371" s="135"/>
      <c r="I371" s="135"/>
      <c r="J371" s="135"/>
    </row>
    <row r="372" ht="15.75" customHeight="1">
      <c r="A372" s="135"/>
      <c r="I372" s="135"/>
      <c r="J372" s="135"/>
    </row>
    <row r="373" ht="15.75" customHeight="1">
      <c r="A373" s="135"/>
      <c r="I373" s="135"/>
      <c r="J373" s="135"/>
    </row>
    <row r="374" ht="15.75" customHeight="1">
      <c r="A374" s="135"/>
      <c r="I374" s="135"/>
      <c r="J374" s="135"/>
    </row>
    <row r="375" ht="15.75" customHeight="1">
      <c r="A375" s="135"/>
      <c r="I375" s="135"/>
      <c r="J375" s="135"/>
    </row>
    <row r="376" ht="15.75" customHeight="1">
      <c r="A376" s="135"/>
      <c r="I376" s="135"/>
      <c r="J376" s="135"/>
    </row>
    <row r="377" ht="15.75" customHeight="1">
      <c r="A377" s="135"/>
      <c r="I377" s="135"/>
      <c r="J377" s="135"/>
    </row>
    <row r="378" ht="15.75" customHeight="1">
      <c r="A378" s="135"/>
      <c r="I378" s="135"/>
      <c r="J378" s="135"/>
    </row>
    <row r="379" ht="15.75" customHeight="1">
      <c r="A379" s="135"/>
      <c r="I379" s="135"/>
      <c r="J379" s="135"/>
    </row>
    <row r="380" ht="15.75" customHeight="1">
      <c r="A380" s="135"/>
      <c r="I380" s="135"/>
      <c r="J380" s="135"/>
    </row>
    <row r="381" ht="15.75" customHeight="1">
      <c r="A381" s="135"/>
      <c r="I381" s="135"/>
      <c r="J381" s="135"/>
    </row>
    <row r="382" ht="15.75" customHeight="1">
      <c r="A382" s="135"/>
      <c r="I382" s="135"/>
      <c r="J382" s="135"/>
    </row>
    <row r="383" ht="15.75" customHeight="1">
      <c r="A383" s="135"/>
      <c r="I383" s="135"/>
      <c r="J383" s="135"/>
    </row>
    <row r="384" ht="15.75" customHeight="1">
      <c r="A384" s="135"/>
      <c r="I384" s="135"/>
      <c r="J384" s="135"/>
    </row>
    <row r="385" ht="15.75" customHeight="1">
      <c r="A385" s="135"/>
      <c r="I385" s="135"/>
      <c r="J385" s="135"/>
    </row>
    <row r="386" ht="15.75" customHeight="1">
      <c r="A386" s="135"/>
      <c r="I386" s="135"/>
      <c r="J386" s="135"/>
    </row>
    <row r="387" ht="15.75" customHeight="1">
      <c r="A387" s="135"/>
      <c r="I387" s="135"/>
      <c r="J387" s="135"/>
    </row>
    <row r="388" ht="15.75" customHeight="1">
      <c r="A388" s="135"/>
      <c r="I388" s="135"/>
      <c r="J388" s="135"/>
    </row>
    <row r="389" ht="15.75" customHeight="1">
      <c r="A389" s="135"/>
      <c r="I389" s="135"/>
      <c r="J389" s="135"/>
    </row>
    <row r="390" ht="15.75" customHeight="1">
      <c r="A390" s="135"/>
      <c r="I390" s="135"/>
      <c r="J390" s="135"/>
    </row>
    <row r="391" ht="15.75" customHeight="1">
      <c r="A391" s="135"/>
      <c r="I391" s="135"/>
      <c r="J391" s="135"/>
    </row>
    <row r="392" ht="15.75" customHeight="1">
      <c r="A392" s="135"/>
      <c r="I392" s="135"/>
      <c r="J392" s="135"/>
    </row>
    <row r="393" ht="15.75" customHeight="1">
      <c r="A393" s="135"/>
      <c r="I393" s="135"/>
      <c r="J393" s="135"/>
    </row>
    <row r="394" ht="15.75" customHeight="1">
      <c r="A394" s="135"/>
      <c r="I394" s="135"/>
      <c r="J394" s="135"/>
    </row>
    <row r="395" ht="15.75" customHeight="1">
      <c r="A395" s="135"/>
      <c r="I395" s="135"/>
      <c r="J395" s="135"/>
    </row>
    <row r="396" ht="15.75" customHeight="1">
      <c r="A396" s="135"/>
      <c r="I396" s="135"/>
      <c r="J396" s="135"/>
    </row>
    <row r="397" ht="15.75" customHeight="1">
      <c r="A397" s="135"/>
      <c r="I397" s="135"/>
      <c r="J397" s="135"/>
    </row>
    <row r="398" ht="15.75" customHeight="1">
      <c r="A398" s="135"/>
      <c r="I398" s="135"/>
      <c r="J398" s="135"/>
    </row>
    <row r="399" ht="15.75" customHeight="1">
      <c r="A399" s="135"/>
      <c r="I399" s="135"/>
      <c r="J399" s="135"/>
    </row>
    <row r="400" ht="15.75" customHeight="1">
      <c r="A400" s="135"/>
      <c r="I400" s="135"/>
      <c r="J400" s="135"/>
    </row>
    <row r="401" ht="15.75" customHeight="1">
      <c r="A401" s="135"/>
      <c r="I401" s="135"/>
      <c r="J401" s="135"/>
    </row>
    <row r="402" ht="15.75" customHeight="1">
      <c r="A402" s="135"/>
      <c r="I402" s="135"/>
      <c r="J402" s="135"/>
    </row>
    <row r="403" ht="15.75" customHeight="1">
      <c r="A403" s="135"/>
      <c r="I403" s="135"/>
      <c r="J403" s="135"/>
    </row>
    <row r="404" ht="15.75" customHeight="1">
      <c r="A404" s="135"/>
      <c r="I404" s="135"/>
      <c r="J404" s="135"/>
    </row>
    <row r="405" ht="15.75" customHeight="1">
      <c r="A405" s="135"/>
      <c r="I405" s="135"/>
      <c r="J405" s="135"/>
    </row>
    <row r="406" ht="15.75" customHeight="1">
      <c r="A406" s="135"/>
      <c r="I406" s="135"/>
      <c r="J406" s="135"/>
    </row>
    <row r="407" ht="15.75" customHeight="1">
      <c r="A407" s="135"/>
      <c r="I407" s="135"/>
      <c r="J407" s="135"/>
    </row>
    <row r="408" ht="15.75" customHeight="1">
      <c r="A408" s="135"/>
      <c r="I408" s="135"/>
      <c r="J408" s="135"/>
    </row>
    <row r="409" ht="15.75" customHeight="1">
      <c r="A409" s="135"/>
      <c r="I409" s="135"/>
      <c r="J409" s="135"/>
    </row>
    <row r="410" ht="15.75" customHeight="1">
      <c r="A410" s="135"/>
      <c r="I410" s="135"/>
      <c r="J410" s="135"/>
    </row>
    <row r="411" ht="15.75" customHeight="1">
      <c r="A411" s="135"/>
      <c r="I411" s="135"/>
      <c r="J411" s="135"/>
    </row>
    <row r="412" ht="15.75" customHeight="1">
      <c r="A412" s="135"/>
      <c r="I412" s="135"/>
      <c r="J412" s="135"/>
    </row>
    <row r="413" ht="15.75" customHeight="1">
      <c r="A413" s="135"/>
      <c r="I413" s="135"/>
      <c r="J413" s="135"/>
    </row>
    <row r="414" ht="15.75" customHeight="1">
      <c r="A414" s="135"/>
      <c r="I414" s="135"/>
      <c r="J414" s="135"/>
    </row>
    <row r="415" ht="15.75" customHeight="1">
      <c r="A415" s="135"/>
      <c r="I415" s="135"/>
      <c r="J415" s="135"/>
    </row>
    <row r="416" ht="15.75" customHeight="1">
      <c r="A416" s="135"/>
      <c r="I416" s="135"/>
      <c r="J416" s="135"/>
    </row>
    <row r="417" ht="15.75" customHeight="1">
      <c r="A417" s="135"/>
      <c r="I417" s="135"/>
      <c r="J417" s="135"/>
    </row>
    <row r="418" ht="15.75" customHeight="1">
      <c r="A418" s="135"/>
      <c r="I418" s="135"/>
      <c r="J418" s="135"/>
    </row>
    <row r="419" ht="15.75" customHeight="1">
      <c r="A419" s="135"/>
      <c r="I419" s="135"/>
      <c r="J419" s="135"/>
    </row>
    <row r="420" ht="15.75" customHeight="1">
      <c r="A420" s="135"/>
      <c r="I420" s="135"/>
      <c r="J420" s="135"/>
    </row>
    <row r="421" ht="15.75" customHeight="1">
      <c r="A421" s="135"/>
      <c r="I421" s="135"/>
      <c r="J421" s="135"/>
    </row>
    <row r="422" ht="15.75" customHeight="1">
      <c r="A422" s="135"/>
      <c r="I422" s="135"/>
      <c r="J422" s="135"/>
    </row>
    <row r="423" ht="15.75" customHeight="1">
      <c r="A423" s="135"/>
      <c r="I423" s="135"/>
      <c r="J423" s="135"/>
    </row>
    <row r="424" ht="15.75" customHeight="1">
      <c r="A424" s="135"/>
      <c r="I424" s="135"/>
      <c r="J424" s="135"/>
    </row>
    <row r="425" ht="15.75" customHeight="1">
      <c r="A425" s="135"/>
      <c r="I425" s="135"/>
      <c r="J425" s="135"/>
    </row>
    <row r="426" ht="15.75" customHeight="1">
      <c r="A426" s="135"/>
      <c r="I426" s="135"/>
      <c r="J426" s="135"/>
    </row>
    <row r="427" ht="15.75" customHeight="1">
      <c r="A427" s="135"/>
      <c r="I427" s="135"/>
      <c r="J427" s="135"/>
    </row>
    <row r="428" ht="15.75" customHeight="1">
      <c r="A428" s="135"/>
      <c r="I428" s="135"/>
      <c r="J428" s="135"/>
    </row>
    <row r="429" ht="15.75" customHeight="1">
      <c r="A429" s="135"/>
      <c r="I429" s="135"/>
      <c r="J429" s="135"/>
    </row>
    <row r="430" ht="15.75" customHeight="1">
      <c r="A430" s="135"/>
      <c r="I430" s="135"/>
      <c r="J430" s="135"/>
    </row>
    <row r="431" ht="15.75" customHeight="1">
      <c r="A431" s="135"/>
      <c r="I431" s="135"/>
      <c r="J431" s="135"/>
    </row>
    <row r="432" ht="15.75" customHeight="1">
      <c r="A432" s="135"/>
      <c r="I432" s="135"/>
      <c r="J432" s="135"/>
    </row>
    <row r="433" ht="15.75" customHeight="1">
      <c r="A433" s="135"/>
      <c r="I433" s="135"/>
      <c r="J433" s="135"/>
    </row>
    <row r="434" ht="15.75" customHeight="1">
      <c r="A434" s="135"/>
      <c r="I434" s="135"/>
      <c r="J434" s="135"/>
    </row>
    <row r="435" ht="15.75" customHeight="1">
      <c r="A435" s="135"/>
      <c r="I435" s="135"/>
      <c r="J435" s="135"/>
    </row>
    <row r="436" ht="15.75" customHeight="1">
      <c r="A436" s="135"/>
      <c r="I436" s="135"/>
      <c r="J436" s="135"/>
    </row>
    <row r="437" ht="15.75" customHeight="1">
      <c r="A437" s="135"/>
      <c r="I437" s="135"/>
      <c r="J437" s="135"/>
    </row>
    <row r="438" ht="15.75" customHeight="1">
      <c r="A438" s="135"/>
      <c r="I438" s="135"/>
      <c r="J438" s="135"/>
    </row>
    <row r="439" ht="15.75" customHeight="1">
      <c r="A439" s="135"/>
      <c r="I439" s="135"/>
      <c r="J439" s="135"/>
    </row>
    <row r="440" ht="15.75" customHeight="1">
      <c r="A440" s="135"/>
      <c r="I440" s="135"/>
      <c r="J440" s="135"/>
    </row>
    <row r="441" ht="15.75" customHeight="1">
      <c r="A441" s="135"/>
      <c r="I441" s="135"/>
      <c r="J441" s="135"/>
    </row>
    <row r="442" ht="15.75" customHeight="1">
      <c r="A442" s="135"/>
      <c r="I442" s="135"/>
      <c r="J442" s="135"/>
    </row>
    <row r="443" ht="15.75" customHeight="1">
      <c r="A443" s="135"/>
      <c r="I443" s="135"/>
      <c r="J443" s="135"/>
    </row>
    <row r="444" ht="15.75" customHeight="1">
      <c r="A444" s="135"/>
      <c r="I444" s="135"/>
      <c r="J444" s="135"/>
    </row>
    <row r="445" ht="15.75" customHeight="1">
      <c r="A445" s="135"/>
      <c r="I445" s="135"/>
      <c r="J445" s="135"/>
    </row>
    <row r="446" ht="15.75" customHeight="1">
      <c r="A446" s="135"/>
      <c r="I446" s="135"/>
      <c r="J446" s="135"/>
    </row>
    <row r="447" ht="15.75" customHeight="1">
      <c r="A447" s="135"/>
      <c r="I447" s="135"/>
      <c r="J447" s="135"/>
    </row>
    <row r="448" ht="15.75" customHeight="1">
      <c r="A448" s="135"/>
      <c r="I448" s="135"/>
      <c r="J448" s="135"/>
    </row>
    <row r="449" ht="15.75" customHeight="1">
      <c r="A449" s="135"/>
      <c r="I449" s="135"/>
      <c r="J449" s="135"/>
    </row>
    <row r="450" ht="15.75" customHeight="1">
      <c r="A450" s="135"/>
      <c r="I450" s="135"/>
      <c r="J450" s="135"/>
    </row>
    <row r="451" ht="15.75" customHeight="1">
      <c r="A451" s="135"/>
      <c r="I451" s="135"/>
      <c r="J451" s="135"/>
    </row>
    <row r="452" ht="15.75" customHeight="1">
      <c r="A452" s="135"/>
      <c r="I452" s="135"/>
      <c r="J452" s="135"/>
    </row>
    <row r="453" ht="15.75" customHeight="1">
      <c r="A453" s="135"/>
      <c r="I453" s="135"/>
      <c r="J453" s="135"/>
    </row>
    <row r="454" ht="15.75" customHeight="1">
      <c r="A454" s="135"/>
      <c r="I454" s="135"/>
      <c r="J454" s="135"/>
    </row>
    <row r="455" ht="15.75" customHeight="1">
      <c r="A455" s="135"/>
      <c r="I455" s="135"/>
      <c r="J455" s="135"/>
    </row>
    <row r="456" ht="15.75" customHeight="1">
      <c r="A456" s="135"/>
      <c r="I456" s="135"/>
      <c r="J456" s="135"/>
    </row>
    <row r="457" ht="15.75" customHeight="1">
      <c r="A457" s="135"/>
      <c r="I457" s="135"/>
      <c r="J457" s="135"/>
    </row>
    <row r="458" ht="15.75" customHeight="1">
      <c r="A458" s="135"/>
      <c r="I458" s="135"/>
      <c r="J458" s="135"/>
    </row>
    <row r="459" ht="15.75" customHeight="1">
      <c r="A459" s="135"/>
      <c r="I459" s="135"/>
      <c r="J459" s="135"/>
    </row>
    <row r="460" ht="15.75" customHeight="1">
      <c r="A460" s="135"/>
      <c r="I460" s="135"/>
      <c r="J460" s="135"/>
    </row>
    <row r="461" ht="15.75" customHeight="1">
      <c r="A461" s="135"/>
      <c r="I461" s="135"/>
      <c r="J461" s="135"/>
    </row>
    <row r="462" ht="15.75" customHeight="1">
      <c r="A462" s="135"/>
      <c r="I462" s="135"/>
      <c r="J462" s="135"/>
    </row>
    <row r="463" ht="15.75" customHeight="1">
      <c r="A463" s="135"/>
      <c r="I463" s="135"/>
      <c r="J463" s="135"/>
    </row>
    <row r="464" ht="15.75" customHeight="1">
      <c r="A464" s="135"/>
      <c r="I464" s="135"/>
      <c r="J464" s="135"/>
    </row>
    <row r="465" ht="15.75" customHeight="1">
      <c r="A465" s="135"/>
      <c r="I465" s="135"/>
      <c r="J465" s="135"/>
    </row>
    <row r="466" ht="15.75" customHeight="1">
      <c r="A466" s="135"/>
      <c r="I466" s="135"/>
      <c r="J466" s="135"/>
    </row>
    <row r="467" ht="15.75" customHeight="1">
      <c r="A467" s="135"/>
      <c r="I467" s="135"/>
      <c r="J467" s="135"/>
    </row>
    <row r="468" ht="15.75" customHeight="1">
      <c r="A468" s="135"/>
      <c r="I468" s="135"/>
      <c r="J468" s="135"/>
    </row>
    <row r="469" ht="15.75" customHeight="1">
      <c r="A469" s="135"/>
      <c r="I469" s="135"/>
      <c r="J469" s="135"/>
    </row>
    <row r="470" ht="15.75" customHeight="1">
      <c r="A470" s="135"/>
      <c r="I470" s="135"/>
      <c r="J470" s="135"/>
    </row>
    <row r="471" ht="15.75" customHeight="1">
      <c r="A471" s="135"/>
      <c r="I471" s="135"/>
      <c r="J471" s="135"/>
    </row>
    <row r="472" ht="15.75" customHeight="1">
      <c r="A472" s="135"/>
      <c r="I472" s="135"/>
      <c r="J472" s="135"/>
    </row>
    <row r="473" ht="15.75" customHeight="1">
      <c r="A473" s="135"/>
      <c r="I473" s="135"/>
      <c r="J473" s="135"/>
    </row>
    <row r="474" ht="15.75" customHeight="1">
      <c r="A474" s="135"/>
      <c r="I474" s="135"/>
      <c r="J474" s="135"/>
    </row>
    <row r="475" ht="15.75" customHeight="1">
      <c r="A475" s="135"/>
      <c r="I475" s="135"/>
      <c r="J475" s="135"/>
    </row>
    <row r="476" ht="15.75" customHeight="1">
      <c r="A476" s="135"/>
      <c r="I476" s="135"/>
      <c r="J476" s="135"/>
    </row>
    <row r="477" ht="15.75" customHeight="1">
      <c r="A477" s="135"/>
      <c r="I477" s="135"/>
      <c r="J477" s="135"/>
    </row>
    <row r="478" ht="15.75" customHeight="1">
      <c r="A478" s="135"/>
      <c r="I478" s="135"/>
      <c r="J478" s="135"/>
    </row>
    <row r="479" ht="15.75" customHeight="1">
      <c r="A479" s="135"/>
      <c r="I479" s="135"/>
      <c r="J479" s="135"/>
    </row>
    <row r="480" ht="15.75" customHeight="1">
      <c r="A480" s="135"/>
      <c r="I480" s="135"/>
      <c r="J480" s="135"/>
    </row>
    <row r="481" ht="15.75" customHeight="1">
      <c r="A481" s="135"/>
      <c r="I481" s="135"/>
      <c r="J481" s="135"/>
    </row>
    <row r="482" ht="15.75" customHeight="1">
      <c r="A482" s="135"/>
      <c r="I482" s="135"/>
      <c r="J482" s="135"/>
    </row>
    <row r="483" ht="15.75" customHeight="1">
      <c r="A483" s="135"/>
      <c r="I483" s="135"/>
      <c r="J483" s="135"/>
    </row>
    <row r="484" ht="15.75" customHeight="1">
      <c r="A484" s="135"/>
      <c r="I484" s="135"/>
      <c r="J484" s="135"/>
    </row>
    <row r="485" ht="15.75" customHeight="1">
      <c r="A485" s="135"/>
      <c r="I485" s="135"/>
      <c r="J485" s="135"/>
    </row>
    <row r="486" ht="15.75" customHeight="1">
      <c r="A486" s="135"/>
      <c r="I486" s="135"/>
      <c r="J486" s="135"/>
    </row>
    <row r="487" ht="15.75" customHeight="1">
      <c r="A487" s="135"/>
      <c r="I487" s="135"/>
      <c r="J487" s="135"/>
    </row>
    <row r="488" ht="15.75" customHeight="1">
      <c r="A488" s="135"/>
      <c r="I488" s="135"/>
      <c r="J488" s="135"/>
    </row>
    <row r="489" ht="15.75" customHeight="1">
      <c r="A489" s="135"/>
      <c r="I489" s="135"/>
      <c r="J489" s="135"/>
    </row>
    <row r="490" ht="15.75" customHeight="1">
      <c r="A490" s="135"/>
      <c r="I490" s="135"/>
      <c r="J490" s="135"/>
    </row>
    <row r="491" ht="15.75" customHeight="1">
      <c r="A491" s="135"/>
      <c r="I491" s="135"/>
      <c r="J491" s="135"/>
    </row>
    <row r="492" ht="15.75" customHeight="1">
      <c r="A492" s="135"/>
      <c r="I492" s="135"/>
      <c r="J492" s="135"/>
    </row>
    <row r="493" ht="15.75" customHeight="1">
      <c r="A493" s="135"/>
      <c r="I493" s="135"/>
      <c r="J493" s="135"/>
    </row>
    <row r="494" ht="15.75" customHeight="1">
      <c r="A494" s="135"/>
      <c r="I494" s="135"/>
      <c r="J494" s="135"/>
    </row>
    <row r="495" ht="15.75" customHeight="1">
      <c r="A495" s="135"/>
      <c r="I495" s="135"/>
      <c r="J495" s="135"/>
    </row>
    <row r="496" ht="15.75" customHeight="1">
      <c r="A496" s="135"/>
      <c r="I496" s="135"/>
      <c r="J496" s="135"/>
    </row>
    <row r="497" ht="15.75" customHeight="1">
      <c r="A497" s="135"/>
      <c r="I497" s="135"/>
      <c r="J497" s="135"/>
    </row>
    <row r="498" ht="15.75" customHeight="1">
      <c r="A498" s="135"/>
      <c r="I498" s="135"/>
      <c r="J498" s="135"/>
    </row>
    <row r="499" ht="15.75" customHeight="1">
      <c r="A499" s="135"/>
      <c r="I499" s="135"/>
      <c r="J499" s="135"/>
    </row>
    <row r="500" ht="15.75" customHeight="1">
      <c r="A500" s="135"/>
      <c r="I500" s="135"/>
      <c r="J500" s="135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1"/>
  <mergeCells count="1">
    <mergeCell ref="C20:H25"/>
  </mergeCells>
  <dataValidations>
    <dataValidation type="list" allowBlank="1" sqref="I2 J3:J500">
      <formula1>"active,deprecated,unreleased"</formula1>
    </dataValidation>
    <dataValidation type="list" allowBlank="1" sqref="A2:A500">
      <formula1>"loot_silver_01,loot_gold_01,loot_platinum_01"</formula1>
    </dataValidation>
    <dataValidation type="list" allowBlank="1" sqref="I3:I500">
      <formula1>"Common,Rare,Epic,Legendary"</formula1>
    </dataValidation>
  </dataValidations>
  <printOptions/>
  <pageMargins bottom="1.0" footer="0.0" header="0.0" left="0.75" right="0.75" top="1.0"/>
  <pageSetup orientation="landscape"/>
  <drawing r:id="rId1"/>
</worksheet>
</file>