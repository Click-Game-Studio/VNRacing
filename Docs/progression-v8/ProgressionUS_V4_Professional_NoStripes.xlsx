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9af5e005f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 Tracker" sheetId="1" r:id="R89d0f96e45d14b09"/>
    <x:sheet xmlns:r="http://schemas.openxmlformats.org/officeDocument/2006/relationships" name="Dashboard" sheetId="2" r:id="R75f89e242dcc41d0"/>
    <x:sheet xmlns:r="http://schemas.openxmlformats.org/officeDocument/2006/relationships" name="Lists" sheetId="3" r:id="Rc0262495d2e74390"/>
    <x:sheet xmlns:r="http://schemas.openxmlformats.org/officeDocument/2006/relationships" name="README" sheetId="4" r:id="R98a135fec512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5">
    <x:font>
      <x:sz val="11"/>
      <x:name val="Carlito"/>
    </x:font>
    <x:font>
      <x:b/>
      <x:sz val="10"/>
      <x:color rgb="FFFFFF"/>
      <x:name val="Carlito"/>
    </x:font>
    <x:font>
      <x:sz val="10"/>
      <x:color rgb="111827"/>
      <x:name val="Carlito"/>
    </x:font>
    <x:font>
      <x:b/>
      <x:sz val="10"/>
      <x:color rgb="FFFFFF"/>
      <x:name val="Aptos"/>
    </x:font>
    <x:font>
      <x:sz val="10"/>
      <x:color rgb="111827"/>
      <x:name val="Aptos"/>
    </x:font>
    <x:font>
      <x:b/>
      <x:sz val="11"/>
      <x:color rgb="FFFFFF"/>
      <x:name val="Carlito"/>
    </x:font>
    <x:font>
      <x:sz val="10"/>
      <x:name val="Carlito"/>
    </x:font>
    <x:font>
      <x:b/>
      <x:sz val="16"/>
      <x:color rgb="FFFFFF"/>
      <x:name val="Carlito"/>
    </x:font>
    <x:font>
      <x:i/>
      <x:sz val="10"/>
      <x:color rgb="6B7280"/>
      <x:name val="Carlito"/>
    </x:font>
    <x:font>
      <x:sz val="11"/>
      <x:color rgb="111827"/>
      <x:name val="Aptos"/>
    </x:font>
    <x:font>
      <x:b/>
      <x:sz val="10"/>
      <x:color rgb="6B7280"/>
      <x:name val="Aptos"/>
    </x:font>
    <x:font>
      <x:b/>
      <x:sz val="18"/>
      <x:color rgb="111827"/>
      <x:name val="Aptos"/>
    </x:font>
    <x:font>
      <x:b/>
      <x:sz val="12"/>
      <x:color rgb="111827"/>
      <x:name val="Carlito"/>
    </x:font>
    <x:font>
      <x:sz val="10"/>
      <x:name val="Aptos"/>
    </x:font>
    <x:font>
      <x:b/>
      <x:sz val="15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FFFFF"/>
      </x:patternFill>
    </x:fill>
    <x:fill>
      <x:patternFill patternType="solid">
        <x:fgColor rgb="374151"/>
      </x:patternFill>
    </x:fill>
    <x:fill>
      <x:patternFill patternType="solid">
        <x:fgColor rgb="111827"/>
      </x:patternFill>
    </x:fill>
    <x:fill>
      <x:patternFill patternType="solid">
        <x:fgColor rgb="F9FAFB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200" fontId="4" fillId="3" borderId="0" xfId="0" applyNumberFormat="1" applyFont="1" applyFill="1" applyBorder="1" applyAlignment="1">
      <x:alignment vertical="top" wrapText="1"/>
    </x:xf>
    <x:xf numFmtId="200" fontId="4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7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left"/>
    </x:xf>
    <x:xf numFmtId="0" fontId="7" fillId="5" borderId="1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 applyAlignment="1">
      <x:alignment vertical="center"/>
    </x:xf>
    <x:xf numFmtId="0" fontId="11" fillId="6" borderId="1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3" fillId="3" borderId="0" xfId="0" applyNumberFormat="1" applyFont="1" applyFill="1" applyBorder="1"/>
    <x:xf numFmtId="0" fontId="13" fillId="3" borderId="1" xfId="0" applyNumberFormat="1" applyFont="1" applyFill="1" applyBorder="1"/>
    <x:xf numFmtId="0" fontId="13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13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 applyAlignment="1">
      <x:alignment horizontal="center"/>
    </x:xf>
    <x:xf numFmtId="0" fontId="13" fillId="3" borderId="1" xfId="0" applyNumberFormat="1" applyFont="1" applyFill="1" applyBorder="1" applyAlignment="1">
      <x:alignment horizontal="center"/>
    </x:xf>
    <x:xf numFmtId="0" fontId="14" fillId="5" borderId="0" xfId="0" applyNumberFormat="1" applyFont="1" applyFill="1" applyBorder="1"/>
    <x:xf numFmtId="0" fontId="14" fillId="5" borderId="1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F1239"/>
      </x:font>
      <x:fill>
        <x:patternFill patternType="solid">
          <x:bgColor rgb="FFE4E6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fb5d260934f40" /><Relationship Type="http://schemas.openxmlformats.org/officeDocument/2006/relationships/theme" Target="/xl/theme/theme1.xml" Id="R919c158e0462482e" /><Relationship Type="http://schemas.openxmlformats.org/officeDocument/2006/relationships/sharedStrings" Target="/xl/sharedStrings.xml" Id="Rab33616b47a6471d" /><Relationship Type="http://schemas.openxmlformats.org/officeDocument/2006/relationships/worksheet" Target="/xl/worksheets/sheet1.xml" Id="R89d0f96e45d14b09" /><Relationship Type="http://schemas.openxmlformats.org/officeDocument/2006/relationships/worksheet" Target="/xl/worksheets/sheet2.xml" Id="R75f89e242dcc41d0" /><Relationship Type="http://schemas.openxmlformats.org/officeDocument/2006/relationships/worksheet" Target="/xl/worksheets/sheet3.xml" Id="Rc0262495d2e74390" /><Relationship Type="http://schemas.openxmlformats.org/officeDocument/2006/relationships/worksheet" Target="/xl/worksheets/sheet4.xml" Id="R98a135fec51240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792d3b22734645" /><Relationship Type="http://schemas.openxmlformats.org/officeDocument/2006/relationships/chart" Target="/xl/drawings/charts/chart2.xml" Id="R3591f15d89f8491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US</c:v>
          </c:tx>
          <c:cat>
            <c:strRef>
              <c:f>'Dashboard'!$D$9:$D$12</c:f>
              <c:strCache>
                <c:ptCount val="0"/>
              </c:strCache>
            </c:strRef>
          </c:cat>
          <c:val>
            <c:numRef>
              <c:f>'Dashboard'!$E$9:$E$12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US</c:v>
          </c:tx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'Dashboard'!$B$17:$B$21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6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792d3b22734645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91f15d89f849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d7704d7616c4e5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42" hidden="0" customWidth="1"/>
    <x:col min="5" max="5" width="44" hidden="0" customWidth="1"/>
    <x:col min="6" max="6" width="18" hidden="0" customWidth="1"/>
    <x:col min="7" max="7" width="28" hidden="0" customWidth="1"/>
    <x:col min="8" max="8" width="10" hidden="0" customWidth="1"/>
    <x:col min="9" max="9" width="12" hidden="0" customWidth="1"/>
    <x:col min="10" max="10" width="26" hidden="0" customWidth="1"/>
    <x:col min="11" max="11" width="28" hidden="0" customWidth="1"/>
    <x:col min="12" max="12" width="46" hidden="0" customWidth="1"/>
    <x:col min="13" max="13" width="42" hidden="0" customWidth="1"/>
    <x:col min="14" max="14" width="44" hidden="0" customWidth="1"/>
    <x:col min="15" max="15" width="14" hidden="0" customWidth="1"/>
    <x:col min="16" max="16" width="14" hidden="0" customWidth="1"/>
    <x:col min="17" max="17" width="18" hidden="0" customWidth="1"/>
    <x:col min="18" max="18" width="16" hidden="0" customWidth="1"/>
  </x:cols>
  <x:sheetData>
    <x:row r="1" ht="36" customHeight="1">
      <x:c r="A1" s="20" t="str">
        <x:v>Mã US</x:v>
      </x:c>
      <x:c r="B1" s="20" t="str">
        <x:v>Nhóm tính năng</x:v>
      </x:c>
      <x:c r="C1" s="20" t="str">
        <x:v>Tên US</x:v>
      </x:c>
      <x:c r="D1" s="20" t="str">
        <x:v>Mục tiêu người dùng / hệ thống</x:v>
      </x:c>
      <x:c r="E1" s="20" t="str">
        <x:v>Kết quả cần đạt</x:v>
      </x:c>
      <x:c r="F1" s="20" t="str">
        <x:v>Vai trò chính</x:v>
      </x:c>
      <x:c r="G1" s="20" t="str">
        <x:v>Vai trò phối hợp</x:v>
      </x:c>
      <x:c r="H1" s="20" t="str">
        <x:v>Ưu tiên</x:v>
      </x:c>
      <x:c r="I1" s="20" t="str">
        <x:v>Sprint</x:v>
      </x:c>
      <x:c r="J1" s="20" t="str">
        <x:v>Phụ thuộc chính</x:v>
      </x:c>
      <x:c r="K1" s="20" t="str">
        <x:v>Tài liệu tham chiếu</x:v>
      </x:c>
      <x:c r="L1" s="20" t="str">
        <x:v>Tiêu chí nghiệm thu</x:v>
      </x:c>
      <x:c r="M1" s="20" t="str">
        <x:v>Checklist QC</x:v>
      </x:c>
      <x:c r="N1" s="20" t="str">
        <x:v>Ghi chú / Điểm cần chốt</x:v>
      </x:c>
      <x:c r="O1" s="6" t="str">
        <x:v>Trạng thái</x:v>
      </x:c>
      <x:c r="P1" s="6" t="str">
        <x:v>QC Sign-off</x:v>
      </x:c>
      <x:c r="Q1" s="6" t="str">
        <x:v>Owner</x:v>
      </x:c>
      <x:c r="R1" s="6" t="str">
        <x:v>Ngày cập nhật</x:v>
      </x:c>
    </x:row>
    <x:row r="2" ht="70" customHeight="1">
      <x:c r="A2" s="24" t="str">
        <x:v>US-00</x:v>
      </x:c>
      <x:c r="B2" s="21" t="str">
        <x:v>Nền tảng</x:v>
      </x:c>
      <x:c r="C2" s="21" t="str">
        <x:v>Nền tảng Snapshot và Config</x:v>
      </x:c>
      <x:c r="D2" s="21" t="str">
        <x:v>Thiết lập nguồn dữ liệu đáng tin cậy để các luồng progression, reward, inventory và garage dùng chung.</x:v>
      </x:c>
      <x:c r="E2" s="21" t="str">
        <x:v>Nakama giữ snapshot và config_version authoritative; client chỉ dùng local save như cache hoặc migration input.</x:v>
      </x:c>
      <x:c r="F2" s="21" t="str">
        <x:v>Backend/Nakama</x:v>
      </x:c>
      <x:c r="G2" s="21" t="str">
        <x:v>Unreal Integration; Data/Economy; UI; QA/QC; PO/Design</x:v>
      </x:c>
      <x:c r="H2" s="24" t="str">
        <x:v>P0</x:v>
      </x:c>
      <x:c r="I2" s="24" t="str">
        <x:v>Sprint 1</x:v>
      </x:c>
      <x:c r="J2" s="21" t="str">
        <x:v>Config publish MVP; RPC contract; môi trường Nakama</x:v>
      </x:c>
      <x:c r="K2" s="21" t="str">
        <x:v>HLD; LLD; Plan; Workbook</x:v>
      </x:c>
      <x:c r="L2" s="21" t="str">
        <x:v>Account mới load được snapshot mặc định; config active_version tồn tại; stale write và invalid config bị từ chối rõ ràng; reload không làm lệch state.</x:v>
      </x:c>
      <x:c r="M2" s="21" t="str">
        <x:v>A) Snapshot mặc định hợp lệ; B) current_config_version đúng; C) Config tối thiểu sẵn sàng; D) Stale/invalid không ghi đè state.</x:v>
      </x:c>
      <x:c r="N2" s="21" t="str">
        <x:v>Source of truth: HLD/LLD cho kiến trúc, design docs cho behavior, workbook cho ID; backend environment và logging target còn cần chốt.</x:v>
      </x:c>
      <x:c r="O2" s="21" t="str">
        <x:v>Draft</x:v>
      </x:c>
      <x:c r="P2" s="21" t="str"/>
      <x:c r="Q2" s="21" t="str"/>
      <x:c r="R2" s="30" t="str"/>
    </x:row>
    <x:row r="3" ht="70" customHeight="1">
      <x:c r="A3" s="24" t="str">
        <x:v>US-01</x:v>
      </x:c>
      <x:c r="B3" s="21" t="str">
        <x:v>VN Tour Goals</x:v>
      </x:c>
      <x:c r="C3" s="21" t="str">
        <x:v>Hiển thị City Goals và tiến trình VN Tour</x:v>
      </x:c>
      <x:c r="D3" s="21" t="str">
        <x:v>Người chơi thấy City hiện tại, mục tiêu theo tier và tiến trình VN Tour để biết việc cần làm tiếp theo.</x:v>
      </x:c>
      <x:c r="E3" s="21" t="str">
        <x:v>VN Tour UI đọc snapshot, hiển thị city/area/track, 3 tier goals, progress và unlock state.</x:v>
      </x:c>
      <x:c r="F3" s="21" t="str">
        <x:v>Unreal Integration</x:v>
      </x:c>
      <x:c r="G3" s="21" t="str">
        <x:v>UI; Backend/Nakama; Data/Economy; QA/QC; PO/Design</x:v>
      </x:c>
      <x:c r="H3" s="24" t="str">
        <x:v>P0</x:v>
      </x:c>
      <x:c r="I3" s="24" t="str">
        <x:v>Sprint 1</x:v>
      </x:c>
      <x:c r="J3" s="21" t="str">
        <x:v>US-00; goal config; VN Tour UI binding</x:v>
      </x:c>
      <x:c r="K3" s="21" t="str">
        <x:v>HLD; LLD; Progression_V8; PlayerState; Plan</x:v>
      </x:c>
      <x:c r="L3" s="21" t="str">
        <x:v>VN Tour mở đúng City hiện tại; 3 tier goals hiển thị đúng checkbox/counter; progress cập nhật sau command/race fixture; reload giữ tiến trình từ server.</x:v>
      </x:c>
      <x:c r="M3" s="21" t="str">
        <x:v>A) City/Area/Track đúng snapshot; B) 3 Tier Goals đúng format; C) Progress cập nhật đúng; D) Reload/offline-cache không làm lệch tiến trình.</x:v>
      </x:c>
      <x:c r="N3" s="21" t="str">
        <x:v>Cần chốt seed/roll policy cho goal và cách hiển thị goal chưa có bản dịch cuối.</x:v>
      </x:c>
      <x:c r="O3" s="21" t="str">
        <x:v>Draft</x:v>
      </x:c>
      <x:c r="P3" s="21" t="str"/>
      <x:c r="Q3" s="21" t="str"/>
      <x:c r="R3" s="30" t="str"/>
    </x:row>
    <x:row r="4" ht="70" customHeight="1">
      <x:c r="A4" s="24" t="str">
        <x:v>US-02</x:v>
      </x:c>
      <x:c r="B4" s="21" t="str">
        <x:v>Race Authority</x:v>
      </x:c>
      <x:c r="C4" s="21" t="str">
        <x:v>Tạo race session và gửi kết quả race</x:v>
      </x:c>
      <x:c r="D4" s="21" t="str">
        <x:v>Người chơi bắt đầu race và gửi kết quả hợp lệ để server xử lý công bằng.</x:v>
      </x:c>
      <x:c r="E4" s="21" t="str">
        <x:v>Client tạo race_session_id, pin config_version, submit result và nhận command result từ backend.</x:v>
      </x:c>
      <x:c r="F4" s="21" t="str">
        <x:v>Backend/Nakama</x:v>
      </x:c>
      <x:c r="G4" s="21" t="str">
        <x:v>Unreal Integration; UI; Data/Economy; QA/QC</x:v>
      </x:c>
      <x:c r="H4" s="24" t="str">
        <x:v>P0</x:v>
      </x:c>
      <x:c r="I4" s="24" t="str">
        <x:v>Sprint 2</x:v>
      </x:c>
      <x:c r="J4" s="21" t="str">
        <x:v>US-00; track/car config; race result contract</x:v>
      </x:c>
      <x:c r="K4" s="21" t="str">
        <x:v>HLD; LLD; Progression_V8; Plan</x:v>
      </x:c>
      <x:c r="L4" s="21" t="str">
        <x:v>Race hợp lệ tạo session và submit thành công; config_version được pin; car/track/result invalid bị reject rõ reason; client không tự grant reward trước xác nhận backend.</x:v>
      </x:c>
      <x:c r="M4" s="21" t="str">
        <x:v>A) Start race có race_session_id; B) Valid accepted, invalid rejected; C) Submit hợp lệ trả command result; D) Không local grant trước backend.</x:v>
      </x:c>
      <x:c r="N4" s="21" t="str">
        <x:v>Cần chốt xử lý race invalid, session expiry và Fuel hard-block hay cache rồi reconcile.</x:v>
      </x:c>
      <x:c r="O4" s="21" t="str">
        <x:v>Draft</x:v>
      </x:c>
      <x:c r="P4" s="21" t="str"/>
      <x:c r="Q4" s="21" t="str"/>
      <x:c r="R4" s="30" t="str"/>
    </x:row>
    <x:row r="5" ht="70" customHeight="1">
      <x:c r="A5" s="24" t="str">
        <x:v>US-03</x:v>
      </x:c>
      <x:c r="B5" s="21" t="str">
        <x:v>Reward Ledger</x:v>
      </x:c>
      <x:c r="C5" s="21" t="str">
        <x:v>Grant reward sau race và chống grant trùng</x:v>
      </x:c>
      <x:c r="D5" s="21" t="str">
        <x:v>Người chơi nhận reward sau race đúng một lần, kể cả khi retry do lỗi mạng.</x:v>
      </x:c>
      <x:c r="E5" s="21" t="str">
        <x:v>Reward resolver dùng config_version đã pin, ghi ledger theo event_id và grant idempotent vào wallet/inventory/progression.</x:v>
      </x:c>
      <x:c r="F5" s="21" t="str">
        <x:v>Backend/Nakama</x:v>
      </x:c>
      <x:c r="G5" s="21" t="str">
        <x:v>Data/Economy; Unreal Integration; UI; QA/QC</x:v>
      </x:c>
      <x:c r="H5" s="24" t="str">
        <x:v>P0</x:v>
      </x:c>
      <x:c r="I5" s="24" t="str">
        <x:v>Sprint 2</x:v>
      </x:c>
      <x:c r="J5" s="21" t="str">
        <x:v>US-00; US-02; reward resolver; storage version guard</x:v>
      </x:c>
      <x:c r="K5" s="21" t="str">
        <x:v>LLD; Progression_V8; Item_Rewards; PlayerState; Plan</x:v>
      </x:c>
      <x:c r="L5" s="21" t="str">
        <x:v>Race reward grant đúng delta; retry cùng event_id không cộng lần hai; payload mismatch bị reject; ledger audit được pending/committed/failed.</x:v>
      </x:c>
      <x:c r="M5" s="21" t="str">
        <x:v>A) Delta reward đúng; B) Retry không double grant; C) Ledger audit được; D) Mismatch/stale/invalid không làm sai state.</x:v>
      </x:c>
      <x:c r="N5" s="21" t="str">
        <x:v>Reward probability giữa Progression_V8 và Item_Rewards_V2 khác nhau; ghi conflict ở config, không tự chọn khi chưa chốt.</x:v>
      </x:c>
      <x:c r="O5" s="21" t="str">
        <x:v>Draft</x:v>
      </x:c>
      <x:c r="P5" s="21" t="str"/>
      <x:c r="Q5" s="21" t="str"/>
      <x:c r="R5" s="30" t="str"/>
    </x:row>
    <x:row r="6" ht="70" customHeight="1">
      <x:c r="A6" s="24" t="str">
        <x:v>US-04</x:v>
      </x:c>
      <x:c r="B6" s="21" t="str">
        <x:v>Reward UI</x:v>
      </x:c>
      <x:c r="C6" s="21" t="str">
        <x:v>Hiển thị reward/result screen theo server payload</x:v>
      </x:c>
      <x:c r="D6" s="21" t="str">
        <x:v>Người chơi thấy phần thưởng sau race đúng theo payload server và trạng thái đồng bộ rõ ràng.</x:v>
      </x:c>
      <x:c r="E6" s="21" t="str">
        <x:v>Result screen hiển thị reward_payload/delta từ server, hỗ trợ loading, success, retry, duplicate và error reason.</x:v>
      </x:c>
      <x:c r="F6" s="21" t="str">
        <x:v>UI</x:v>
      </x:c>
      <x:c r="G6" s="21" t="str">
        <x:v>Unreal Integration; Backend/Nakama; Data/Economy; QA/QC</x:v>
      </x:c>
      <x:c r="H6" s="24" t="str">
        <x:v>P0</x:v>
      </x:c>
      <x:c r="I6" s="24" t="str">
        <x:v>Sprint 2</x:v>
      </x:c>
      <x:c r="J6" s="21" t="str">
        <x:v>US-02; US-03; UI state contract</x:v>
      </x:c>
      <x:c r="K6" s="21" t="str">
        <x:v>HLD; LLD; PlayerState; Item_Rewards; Plan</x:v>
      </x:c>
      <x:c r="L6" s="21" t="str">
        <x:v>Payload Cash-only, item-only và mixed hiển thị đúng; wallet/inventory/progression sync đúng; duplicate retry không nhân animation; error reason rõ.</x:v>
      </x:c>
      <x:c r="M6" s="21" t="str">
        <x:v>A) Hiển thị đúng reward_payload; B) Delta sync đúng; C) Duplicate/retry không nhân thưởng; D) Error và retry rõ ràng.</x:v>
      </x:c>
      <x:c r="N6" s="21" t="str">
        <x:v>Currency naming cần thống nhất hiển thị: Cash/Click/Fuel theo tài liệu so với Cash/Coin/Fuel ở implementation split.</x:v>
      </x:c>
      <x:c r="O6" s="21" t="str">
        <x:v>Draft</x:v>
      </x:c>
      <x:c r="P6" s="21" t="str"/>
      <x:c r="Q6" s="21" t="str"/>
      <x:c r="R6" s="30" t="str"/>
    </x:row>
    <x:row r="7" ht="70" customHeight="1">
      <x:c r="A7" s="24" t="str">
        <x:v>US-05</x:v>
      </x:c>
      <x:c r="B7" s="21" t="str">
        <x:v>Goals Reward</x:v>
      </x:c>
      <x:c r="C7" s="21" t="str">
        <x:v>Hoàn thành Goal và nhận thưởng Goal</x:v>
      </x:c>
      <x:c r="D7" s="21" t="str">
        <x:v>Người chơi hoàn thành Goal và nhận thưởng rõ ràng, không bị nhận trùng.</x:v>
      </x:c>
      <x:c r="E7" s="21" t="str">
        <x:v>Một Goal representative complete và grant thưởng một lần qua resolver/ledger, UI phản hồi claim hoặc granted.</x:v>
      </x:c>
      <x:c r="F7" s="21" t="str">
        <x:v>Data/Economy</x:v>
      </x:c>
      <x:c r="G7" s="21" t="str">
        <x:v>Backend/Nakama; Unreal Integration; UI; QA/QC; PO/Design</x:v>
      </x:c>
      <x:c r="H7" s="24" t="str">
        <x:v>P1</x:v>
      </x:c>
      <x:c r="I7" s="24" t="str">
        <x:v>Sprint 2</x:v>
      </x:c>
      <x:c r="J7" s="21" t="str">
        <x:v>US-00; US-01; US-03</x:v>
      </x:c>
      <x:c r="K7" s="21" t="str">
        <x:v>Progression_V8; Item_Rewards; PlayerState; Plan</x:v>
      </x:c>
      <x:c r="L7" s="21" t="str">
        <x:v>Goal đạt target chuyển đúng state theo policy; reward đi qua resolver/ledger; retry không grant trùng; reload giữ goal_state và reward_state.</x:v>
      </x:c>
      <x:c r="M7" s="21" t="str">
        <x:v>A) Goal state đúng policy; B) Reward qua ledger; C) Claim/retry không trùng; D) Reload giữ đúng state.</x:v>
      </x:c>
      <x:c r="N7" s="21" t="str">
        <x:v>Goal reward mode còn mở: auto-grant khi complete hay manual claim; nếu nhiều Goal complete cùng lúc cần chốt thứ tự grant.</x:v>
      </x:c>
      <x:c r="O7" s="21" t="str">
        <x:v>Draft</x:v>
      </x:c>
      <x:c r="P7" s="21" t="str"/>
      <x:c r="Q7" s="21" t="str"/>
      <x:c r="R7" s="30" t="str"/>
    </x:row>
    <x:row r="8" ht="70" customHeight="1">
      <x:c r="A8" s="24" t="str">
        <x:v>US-06</x:v>
      </x:c>
      <x:c r="B8" s="21" t="str">
        <x:v>City Unlock</x:v>
      </x:c>
      <x:c r="C8" s="21" t="str">
        <x:v>Mở khóa City mới và nhận xe thưởng</x:v>
      </x:c>
      <x:c r="D8" s="21" t="str">
        <x:v>Người chơi hoàn thành City, mở City tiếp theo và nhận xe thưởng để tiếp tục VN Tour.</x:v>
      </x:c>
      <x:c r="E8" s="21" t="str">
        <x:v>City unlock cập nhật progression, grant 3 xe theo config và thêm default visual vào garage-lite/inventory.</x:v>
      </x:c>
      <x:c r="F8" s="21" t="str">
        <x:v>Data/Economy</x:v>
      </x:c>
      <x:c r="G8" s="21" t="str">
        <x:v>Backend/Nakama; Unreal Integration; UI; QA/QC; PO/Design</x:v>
      </x:c>
      <x:c r="H8" s="24" t="str">
        <x:v>P1</x:v>
      </x:c>
      <x:c r="I8" s="24" t="str">
        <x:v>Sprint 2</x:v>
      </x:c>
      <x:c r="J8" s="21" t="str">
        <x:v>US-00; US-01; US-03; US-05</x:v>
      </x:c>
      <x:c r="K8" s="21" t="str">
        <x:v>Progression_V8; PlayerState; CarCustomize; Workbook; Plan</x:v>
      </x:c>
      <x:c r="L8" s="21" t="str">
        <x:v>Hoàn thành điều kiện City mở đúng City kế tiếp; grant đúng 3 xe một lần; default visual được thêm đúng; VN Tour và Garage reload khớp server.</x:v>
      </x:c>
      <x:c r="M8" s="21" t="str">
        <x:v>A) Unlock đúng City; B) Grant đúng 3 xe; C) Default visual đúng inventory; D) Retry/duplicate không tạo thêm xe/item.</x:v>
      </x:c>
      <x:c r="N8" s="21" t="str">
        <x:v>Cần chốt điều kiện hoàn thành City; mapping CR/xe giữa Progression_V8 và workbook còn có điểm lệch cần PO/Data xác nhận.</x:v>
      </x:c>
      <x:c r="O8" s="21" t="str">
        <x:v>Draft</x:v>
      </x:c>
      <x:c r="P8" s="21" t="str"/>
      <x:c r="Q8" s="21" t="str"/>
      <x:c r="R8" s="30" t="str"/>
    </x:row>
    <x:row r="9" ht="70" customHeight="1">
      <x:c r="A9" s="24" t="str">
        <x:v>US-07</x:v>
      </x:c>
      <x:c r="B9" s="21" t="str">
        <x:v>Token/Loot MVP</x:v>
      </x:c>
      <x:c r="C9" s="21" t="str">
        <x:v>Token/Loot reward MVP</x:v>
      </x:c>
      <x:c r="D9" s="21" t="str">
        <x:v>Người chơi nhận Token hoặc mở Loot reward với kết quả ngẫu nhiên theo cấu hình hiện hành.</x:v>
      </x:c>
      <x:c r="E9" s="21" t="str">
        <x:v>Token/Loot MVP resolve qua config, rarity và City pool, trả reward cuối cùng cho wallet/inventory.</x:v>
      </x:c>
      <x:c r="F9" s="21" t="str">
        <x:v>Data/Economy</x:v>
      </x:c>
      <x:c r="G9" s="21" t="str">
        <x:v>Backend/Nakama; UI; Unreal Integration; QA/QC; PO/Design</x:v>
      </x:c>
      <x:c r="H9" s="24" t="str">
        <x:v>P1</x:v>
      </x:c>
      <x:c r="I9" s="24" t="str">
        <x:v>Sprint 2</x:v>
      </x:c>
      <x:c r="J9" s="21" t="str">
        <x:v>US-00; US-03; US-04</x:v>
      </x:c>
      <x:c r="K9" s="21" t="str">
        <x:v>Progression_V8; Item_Rewards; Workbook; Plan</x:v>
      </x:c>
      <x:c r="L9" s="21" t="str">
        <x:v>Token/Loot resolve theo probability và pool đã chốt; reward hợp lệ theo type/rarity/item; duplicate visual xử lý đúng rule MVP; retry idempotent.</x:v>
      </x:c>
      <x:c r="M9" s="21" t="str">
        <x:v>A) Probability/pool đúng config; B) Reward hợp lệ; C) Duplicate Visual không sai inventory; D) Retry không grant thêm.</x:v>
      </x:c>
      <x:c r="N9" s="21" t="str">
        <x:v>Reward probability conflict cần chốt; duplicate visual compensation table còn thiếu; Loot Crate tiers MVP cần xác nhận.</x:v>
      </x:c>
      <x:c r="O9" s="21" t="str">
        <x:v>Draft</x:v>
      </x:c>
      <x:c r="P9" s="21" t="str"/>
      <x:c r="Q9" s="21" t="str"/>
      <x:c r="R9" s="30" t="str"/>
    </x:row>
    <x:row r="10" ht="70" customHeight="1">
      <x:c r="A10" s="24" t="str">
        <x:v>US-08</x:v>
      </x:c>
      <x:c r="B10" s="21" t="str">
        <x:v>Inventory Command</x:v>
      </x:c>
      <x:c r="C10" s="21" t="str">
        <x:v>Inventory equip/use theo command path</x:v>
      </x:c>
      <x:c r="D10" s="21" t="str">
        <x:v>Người chơi dùng hoặc trang bị item trong Inventory và thấy state đồng bộ đúng với server.</x:v>
      </x:c>
      <x:c r="E10" s="21" t="str">
        <x:v>Inventory mutation tối thiểu đi qua command path, trả authoritative delta cho wallet/inventory/garage-lite.</x:v>
      </x:c>
      <x:c r="F10" s="21" t="str">
        <x:v>Unreal Integration</x:v>
      </x:c>
      <x:c r="G10" s="21" t="str">
        <x:v>Backend/Nakama; UI; Data/Economy; QA/QC</x:v>
      </x:c>
      <x:c r="H10" s="24" t="str">
        <x:v>P1</x:v>
      </x:c>
      <x:c r="I10" s="24" t="str">
        <x:v>Sprint 3</x:v>
      </x:c>
      <x:c r="J10" s="21" t="str">
        <x:v>US-00; US-03; US-04</x:v>
      </x:c>
      <x:c r="K10" s="21" t="str">
        <x:v>LLD; PlayerState; Workbook; Plan</x:v>
      </x:c>
      <x:c r="L10" s="21" t="str">
        <x:v>Use item cập nhật wallet/inventory đúng; equip Visual chỉ thành công khi hợp lệ và đã sở hữu; quantity 0 xử lý đúng; retry/timeout/duplicate không double mutate.</x:v>
      </x:c>
      <x:c r="M10" s="21" t="str">
        <x:v>A) Use effect đúng; B) Equip chỉ khi hợp lệ; C) Quantity/state đúng; D) Retry/timeout/duplicate an toàn.</x:v>
      </x:c>
      <x:c r="N10" s="21" t="str">
        <x:v>Cần chốt phạm vi mutation MVP: equip/use/remove hay chỉ các case phục vụ vertical slice.</x:v>
      </x:c>
      <x:c r="O10" s="21" t="str">
        <x:v>Draft</x:v>
      </x:c>
      <x:c r="P10" s="21" t="str"/>
      <x:c r="Q10" s="21" t="str"/>
      <x:c r="R10" s="30" t="str"/>
    </x:row>
    <x:row r="11" ht="70" customHeight="1">
      <x:c r="A11" s="24" t="str">
        <x:v>US-09</x:v>
      </x:c>
      <x:c r="B11" s="21" t="str">
        <x:v>Visual Customize</x:v>
      </x:c>
      <x:c r="C11" s="21" t="str">
        <x:v>Quyền sở hữu và apply Visual Customize</x:v>
      </x:c>
      <x:c r="D11" s="21" t="str">
        <x:v>Người chơi preview, mua lần đầu hoặc apply visual đã sở hữu mà không làm lệch Inventory/Garage.</x:v>
      </x:c>
      <x:c r="E11" s="21" t="str">
        <x:v>Customize Visual validate ownership_state, cost rule và lưu loadout vào garage-lite khi command thành công.</x:v>
      </x:c>
      <x:c r="F11" s="21" t="str">
        <x:v>Unreal Integration</x:v>
      </x:c>
      <x:c r="G11" s="21" t="str">
        <x:v>UI; Backend/Nakama; Data/Economy; QA/QC; PO/Design</x:v>
      </x:c>
      <x:c r="H11" s="24" t="str">
        <x:v>P1</x:v>
      </x:c>
      <x:c r="I11" s="24" t="str">
        <x:v>Sprint 3</x:v>
      </x:c>
      <x:c r="J11" s="21" t="str">
        <x:v>US-00; US-08</x:v>
      </x:c>
      <x:c r="K11" s="21" t="str">
        <x:v>CarCustomize; PlayerState; Workbook; Plan</x:v>
      </x:c>
      <x:c r="L11" s="21" t="str">
        <x:v>Locked Visual chỉ preview; Unlocked/Purchased xử lý đúng cost rule; apply cập nhật garage loadout và inventory state; fail/timeout không biến preview thành state thật.</x:v>
      </x:c>
      <x:c r="M11" s="21" t="str">
        <x:v>A) Locked chỉ preview; B) Cost rule đúng; C) Loadout/inventory cập nhật đúng; D) Fail/retry không tạo state giả.</x:v>
      </x:c>
      <x:c r="N11" s="21" t="str">
        <x:v>Visual cost conflict: sample cũ free, CarCustomize nói unlocked-not-purchased $20 và purchased $0, Progression economy còn nêu giá khác.</x:v>
      </x:c>
      <x:c r="O11" s="21" t="str">
        <x:v>Draft</x:v>
      </x:c>
      <x:c r="P11" s="21" t="str"/>
      <x:c r="Q11" s="21" t="str"/>
      <x:c r="R11" s="30" t="str"/>
    </x:row>
    <x:row r="12" ht="70" customHeight="1">
      <x:c r="A12" s="24" t="str">
        <x:v>US-10</x:v>
      </x:c>
      <x:c r="B12" s="21" t="str">
        <x:v>Performance Upgrade</x:v>
      </x:c>
      <x:c r="C12" s="21" t="str">
        <x:v>Nâng cấp Performance và kiểm tra CR gate</x:v>
      </x:c>
      <x:c r="D12" s="21" t="str">
        <x:v>Người chơi nâng cấp hiệu năng xe bằng Cash và Performance Item để đạt CR cần thiết.</x:v>
      </x:c>
      <x:c r="E12" s="21" t="str">
        <x:v>Performance upgrade áp dụng Lv0-3 Cash, Lv4-6 Cash + Performance Item, cập nhật CR và gate progression.</x:v>
      </x:c>
      <x:c r="F12" s="21" t="str">
        <x:v>Data/Economy</x:v>
      </x:c>
      <x:c r="G12" s="21" t="str">
        <x:v>Unreal Integration; Backend/Nakama; UI; QA/QC; PO/Design</x:v>
      </x:c>
      <x:c r="H12" s="24" t="str">
        <x:v>P1</x:v>
      </x:c>
      <x:c r="I12" s="24" t="str">
        <x:v>Sprint 3</x:v>
      </x:c>
      <x:c r="J12" s="21" t="str">
        <x:v>US-00; US-08</x:v>
      </x:c>
      <x:c r="K12" s="21" t="str">
        <x:v>CarCustomize; Progression_V8; PlayerState; Workbook; Plan</x:v>
      </x:c>
      <x:c r="L12" s="21" t="str">
        <x:v>Lv0-3 chỉ cần Cash; Lv4-6 cần Cash và item; CR sau upgrade và CR gate cập nhật đúng; fail/retry/duplicate không trừ tài nguyên hai lần.</x:v>
      </x:c>
      <x:c r="M12" s="21" t="str">
        <x:v>A) Lv0-3 đúng Cash cost; B) Lv4-6 đúng item requirement; C) CR/gate đúng; D) Fail/retry không double spend.</x:v>
      </x:c>
      <x:c r="N12" s="21" t="str">
        <x:v>Cần chốt độ sâu garage-lite: chỉ CR tổng hay lưu per-part level; bảng cost Performance cuối cần xác nhận từ docs/workbook.</x:v>
      </x:c>
      <x:c r="O12" s="21" t="str">
        <x:v>Draft</x:v>
      </x:c>
      <x:c r="P12" s="21" t="str"/>
      <x:c r="Q12" s="21" t="str"/>
      <x:c r="R12" s="30" t="str"/>
    </x:row>
    <x:row r="13" ht="70" customHeight="1">
      <x:c r="A13" s="24" t="str">
        <x:v>US-11</x:v>
      </x:c>
      <x:c r="B13" s="21" t="str">
        <x:v>Cache &amp; Migration</x:v>
      </x:c>
      <x:c r="C13" s="21" t="str">
        <x:v>Local cache, offline behavior và migration dry-run</x:v>
      </x:c>
      <x:c r="D13" s="21" t="str">
        <x:v>Người chơi quay lại game được xử lý dữ liệu cũ/offline an toàn, không mất hoặc nhân đôi progression.</x:v>
      </x:c>
      <x:c r="E13" s="21" t="str">
        <x:v>Local save chỉ làm cache/fallback hoặc migration input; migration dry-run preview mapping mà không commit state.</x:v>
      </x:c>
      <x:c r="F13" s="21" t="str">
        <x:v>Backend/Nakama</x:v>
      </x:c>
      <x:c r="G13" s="21" t="str">
        <x:v>Unreal Integration; UI; Data/Economy; QA/QC; PO/Design</x:v>
      </x:c>
      <x:c r="H13" s="24" t="str">
        <x:v>P1</x:v>
      </x:c>
      <x:c r="I13" s="24" t="str">
        <x:v>Sprint 3</x:v>
      </x:c>
      <x:c r="J13" s="21" t="str">
        <x:v>US-00; US-03</x:v>
      </x:c>
      <x:c r="K13" s="21" t="str">
        <x:v>HLD; LLD; PlayerState; Plan</x:v>
      </x:c>
      <x:c r="L13" s="21" t="str">
        <x:v>Dry-run tạo preview cho save cũ; duplicate/unmapped/corrupted save được báo rõ; offline-cache không trở thành authority; reconnect không nhân đôi wallet/inventory/progression.</x:v>
      </x:c>
      <x:c r="M13" s="21" t="str">
        <x:v>A) Local save không là authority; B) Dry-run không commit/grant; C) Duplicate/unmapped/corrupt rõ; D) Offline/reconnect không double state.</x:v>
      </x:c>
      <x:c r="N13" s="21" t="str">
        <x:v>Fuel offline behavior còn mở: hard-block theo backend hay cache/queue rồi reconcile.</x:v>
      </x:c>
      <x:c r="O13" s="21" t="str">
        <x:v>Draft</x:v>
      </x:c>
      <x:c r="P13" s="21" t="str"/>
      <x:c r="Q13" s="21" t="str"/>
      <x:c r="R13" s="30" t="str"/>
    </x:row>
    <x:row r="14" ht="70" customHeight="1">
      <x:c r="A14" s="24" t="str">
        <x:v>US-12</x:v>
      </x:c>
      <x:c r="B14" s="21" t="str">
        <x:v>QC &amp; Handover</x:v>
      </x:c>
      <x:c r="C14" s="21" t="str">
        <x:v>Debug log, checklist QC và bàn giao</x:v>
      </x:c>
      <x:c r="D14" s="21" t="str">
        <x:v>Team dự án có log, checklist và gói bàn giao để test lại vertical slice Progression V8 trên local/staging.</x:v>
      </x:c>
      <x:c r="E14" s="21" t="str">
        <x:v>Các flow chính có debug payload, checklist QC theo vai trò, hướng dẫn dựng môi trường và danh sách known issues/open decisions.</x:v>
      </x:c>
      <x:c r="F14" s="21" t="str">
        <x:v>QA/QC</x:v>
      </x:c>
      <x:c r="G14" s="21" t="str">
        <x:v>Backend/Nakama; Unreal Integration; UI; Data/Economy; PO/Design</x:v>
      </x:c>
      <x:c r="H14" s="24" t="str">
        <x:v>P0</x:v>
      </x:c>
      <x:c r="I14" s="24" t="str">
        <x:v>Sprint 1-3</x:v>
      </x:c>
      <x:c r="J14" s="21" t="str">
        <x:v>US-00 đến US-11; môi trường test</x:v>
      </x:c>
      <x:c r="K14" s="21" t="str">
        <x:v>HLD; LLD; Plan; Workbook</x:v>
      </x:c>
      <x:c r="L14" s="21" t="str">
        <x:v>QA trace được request_id/event_id; checklist bao phủ các flow chính; setup local/staging chạy lại được; report ghi pass/fail, known issues và open decisions.</x:v>
      </x:c>
      <x:c r="M14" s="21" t="str">
        <x:v>A) Flow chính có trace IDs; B) Smoke checklist đủ phạm vi; C) Setup local/staging rõ; D) Final report ghi pass/fail và open decisions.</x:v>
      </x:c>
      <x:c r="N14" s="21" t="str">
        <x:v>Backend environment/logging target còn mở: Nakama logger, external file hay console; cần chốt format pass/fail và known issues.</x:v>
      </x:c>
      <x:c r="O14" s="21" t="str">
        <x:v>Draft</x:v>
      </x:c>
      <x:c r="P14" s="21" t="str"/>
      <x:c r="Q14" s="21" t="str"/>
      <x:c r="R14" s="30" t="str"/>
    </x:row>
  </x:sheetData>
  <x:conditionalFormatting sqref="H2:H14">
    <x:cfRule type="cellIs" dxfId="0" priority="1">
      <x:formula>"P0"</x:formula>
    </x:cfRule>
    <x:cfRule type="cellIs" dxfId="1" priority="2">
      <x:formula>"P1"</x:formula>
    </x:cfRule>
  </x:conditionalFormatting>
  <x:conditionalFormatting sqref="O2:O14">
    <x:cfRule type="cellIs" dxfId="2" priority="3">
      <x:formula>"Done"</x:formula>
    </x:cfRule>
    <x:cfRule type="cellIs" dxfId="3" priority="4">
      <x:formula>"Blocked"</x:formula>
    </x:cfRule>
  </x:conditionalFormatting>
  <x:conditionalFormatting sqref="P2:P14">
    <x:cfRule type="cellIs" dxfId="4" priority="5">
      <x:formula>"Pass"</x:formula>
    </x:cfRule>
    <x:cfRule type="cellIs" dxfId="5" priority="6">
      <x:formula>"Fail"</x:formula>
    </x:cfRule>
  </x:conditionalFormatting>
  <x:dataValidations count="6">
    <x:dataValidation type="list" sqref="B2:B14">
      <x:formula1>Lists!$A$2:$A$14</x:formula1>
    </x:dataValidation>
    <x:dataValidation type="list" sqref="F2:F14">
      <x:formula1>Lists!$B$2:$B$6</x:formula1>
    </x:dataValidation>
    <x:dataValidation type="list" sqref="H2:H14">
      <x:formula1>Lists!$C$2:$C$3</x:formula1>
    </x:dataValidation>
    <x:dataValidation type="list" sqref="I2:I14">
      <x:formula1>Lists!$D$2:$D$5</x:formula1>
    </x:dataValidation>
    <x:dataValidation type="list" sqref="O2:O14">
      <x:formula1>Lists!$E$2:$E$8</x:formula1>
    </x:dataValidation>
    <x:dataValidation type="list" sqref="P2:P14">
      <x:formula1>Lists!$F$2:$F$5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18" hidden="0" customWidth="1"/>
    <x:col min="8" max="8" width="12" hidden="0" customWidth="1"/>
  </x:cols>
  <x:sheetData>
    <x:row r="1" ht="32" customHeight="1">
      <x:c r="A1" s="43" t="str">
        <x:v>Progression US Tracker – Dashboard</x:v>
      </x:c>
      <x:c r="B1" s="43"/>
      <x:c r="C1" s="43"/>
      <x:c r="D1" s="43"/>
      <x:c r="E1" s="43"/>
      <x:c r="F1" s="43"/>
      <x:c r="G1" s="43"/>
      <x:c r="H1" s="43"/>
    </x:row>
    <x:row r="2" ht="22" customHeight="1">
      <x:c r="A2" s="48" t="str">
        <x:v>Tổng quan tự động từ sheet US Tracker. Thiết kế clean, không dùng kẻ sọc/zebra rows.</x:v>
      </x:c>
      <x:c r="B2" s="48"/>
      <x:c r="C2" s="48"/>
      <x:c r="D2" s="48"/>
      <x:c r="E2" s="48"/>
      <x:c r="F2" s="48"/>
      <x:c r="G2" s="48"/>
      <x:c r="H2" s="48"/>
    </x:row>
    <x:row r="4">
      <x:c r="A4" s="56" t="str">
        <x:v>Tổng US</x:v>
      </x:c>
      <x:c r="B4" s="59" t="n">
        <x:f>COUNTA('US Tracker'!$A$2:$A$14)</x:f>
        <x:v>13</x:v>
      </x:c>
      <x:c r="C4" s="56" t="str">
        <x:v>Tổng giờ ước lượng</x:v>
      </x:c>
      <x:c r="D4" s="59" t="str">
        <x:v>N/A</x:v>
      </x:c>
      <x:c r="E4" s="56" t="str">
        <x:v>P0</x:v>
      </x:c>
      <x:c r="F4" s="59" t="n">
        <x:f>COUNTIF('US Tracker'!$H$2:$H$14,"P0")</x:f>
        <x:v>6</x:v>
      </x:c>
      <x:c r="G4" s="56" t="str">
        <x:v>P1</x:v>
      </x:c>
      <x:c r="H4" s="59" t="n">
        <x:f>COUNTIF('US Tracker'!$H$2:$H$14,"P1")</x:f>
        <x:v>7</x:v>
      </x:c>
    </x:row>
    <x:row r="5">
      <x:c r="A5" s="52"/>
      <x:c r="B5" s="52"/>
      <x:c r="C5" s="52"/>
      <x:c r="D5" s="52"/>
      <x:c r="E5" s="52"/>
      <x:c r="F5" s="52"/>
      <x:c r="G5" s="52"/>
      <x:c r="H5" s="52"/>
    </x:row>
    <x:row r="7">
      <x:c r="A7" s="62" t="str">
        <x:v>Theo ưu tiên</x:v>
      </x:c>
      <x:c r="D7" s="62" t="str">
        <x:v>Theo Sprint</x:v>
      </x:c>
    </x:row>
    <x:row r="8">
      <x:c r="A8" s="68" t="str">
        <x:v>Ưu tiên</x:v>
      </x:c>
      <x:c r="B8" s="68" t="str">
        <x:v>Số lượng</x:v>
      </x:c>
      <x:c r="D8" s="68" t="str">
        <x:v>Sprint</x:v>
      </x:c>
      <x:c r="E8" s="68" t="str">
        <x:v>Số lượng</x:v>
      </x:c>
    </x:row>
    <x:row r="9">
      <x:c r="A9" s="64" t="str">
        <x:v>P0</x:v>
      </x:c>
      <x:c r="B9" s="72" t="n">
        <x:f>COUNTIF('US Tracker'!$H$2:$H$14,A9)</x:f>
        <x:v>6</x:v>
      </x:c>
      <x:c r="D9" s="64" t="str">
        <x:v>Sprint 1</x:v>
      </x:c>
      <x:c r="E9" s="72" t="n">
        <x:f>COUNTIF('US Tracker'!$I$2:$I$14,D9)</x:f>
        <x:v>2</x:v>
      </x:c>
    </x:row>
    <x:row r="10">
      <x:c r="A10" s="64" t="str">
        <x:v>P1</x:v>
      </x:c>
      <x:c r="B10" s="72" t="n">
        <x:f>COUNTIF('US Tracker'!$H$2:$H$14,A10)</x:f>
        <x:v>7</x:v>
      </x:c>
      <x:c r="D10" s="64" t="str">
        <x:v>Sprint 1-3</x:v>
      </x:c>
      <x:c r="E10" s="72" t="n">
        <x:f>COUNTIF('US Tracker'!$I$2:$I$14,D10)</x:f>
        <x:v>1</x:v>
      </x:c>
    </x:row>
    <x:row r="11">
      <x:c r="D11" s="64" t="str">
        <x:v>Sprint 2</x:v>
      </x:c>
      <x:c r="E11" s="72" t="n">
        <x:f>COUNTIF('US Tracker'!$I$2:$I$14,D11)</x:f>
        <x:v>6</x:v>
      </x:c>
    </x:row>
    <x:row r="12">
      <x:c r="D12" s="64" t="str">
        <x:v>Sprint 3</x:v>
      </x:c>
      <x:c r="E12" s="72" t="n">
        <x:f>COUNTIF('US Tracker'!$I$2:$I$14,D12)</x:f>
        <x:v>4</x:v>
      </x:c>
    </x:row>
    <x:row r="15">
      <x:c r="A15" s="62" t="str">
        <x:v>Theo vai trò chính</x:v>
      </x:c>
    </x:row>
    <x:row r="16">
      <x:c r="A16" s="68" t="str">
        <x:v>Vai trò chính</x:v>
      </x:c>
      <x:c r="B16" s="68" t="str">
        <x:v>Số lượng</x:v>
      </x:c>
    </x:row>
    <x:row r="17">
      <x:c r="A17" s="64" t="str">
        <x:v>Backend/Nakama</x:v>
      </x:c>
      <x:c r="B17" s="72" t="n">
        <x:f>COUNTIF('US Tracker'!$F$2:$F$14,A17)</x:f>
        <x:v>4</x:v>
      </x:c>
    </x:row>
    <x:row r="18">
      <x:c r="A18" s="64" t="str">
        <x:v>Data/Economy</x:v>
      </x:c>
      <x:c r="B18" s="72" t="n">
        <x:f>COUNTIF('US Tracker'!$F$2:$F$14,A18)</x:f>
        <x:v>4</x:v>
      </x:c>
    </x:row>
    <x:row r="19">
      <x:c r="A19" s="64" t="str">
        <x:v>QA/QC</x:v>
      </x:c>
      <x:c r="B19" s="72" t="n">
        <x:f>COUNTIF('US Tracker'!$F$2:$F$14,A19)</x:f>
        <x:v>1</x:v>
      </x:c>
    </x:row>
    <x:row r="20">
      <x:c r="A20" s="64" t="str">
        <x:v>UI</x:v>
      </x:c>
      <x:c r="B20" s="72" t="n">
        <x:f>COUNTIF('US Tracker'!$F$2:$F$14,A20)</x:f>
        <x:v>1</x:v>
      </x:c>
    </x:row>
    <x:row r="21">
      <x:c r="A21" s="64" t="str">
        <x:v>Unreal Integration</x:v>
      </x:c>
      <x:c r="B21" s="72" t="n">
        <x:f>COUNTIF('US Tracker'!$F$2:$F$14,A21)</x:f>
        <x:v>3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d7704d7616c4e5b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4" t="str">
        <x:v>Nhóm tính năng</x:v>
      </x:c>
      <x:c r="B1" s="34" t="str">
        <x:v>Vai trò chính</x:v>
      </x:c>
      <x:c r="C1" s="34" t="str">
        <x:v>Ưu tiên</x:v>
      </x:c>
      <x:c r="D1" s="34" t="str">
        <x:v>Sprint</x:v>
      </x:c>
      <x:c r="E1" s="34" t="str">
        <x:v>Trạng thái</x:v>
      </x:c>
      <x:c r="F1" s="34" t="str">
        <x:v>QC Sign-off</x:v>
      </x:c>
    </x:row>
    <x:row r="2">
      <x:c r="A2" s="38" t="str">
        <x:v>Cache &amp; Migration</x:v>
      </x:c>
      <x:c r="B2" s="38" t="str">
        <x:v>Backend/Nakama</x:v>
      </x:c>
      <x:c r="C2" s="38" t="str">
        <x:v>P0</x:v>
      </x:c>
      <x:c r="D2" s="38" t="str">
        <x:v>Sprint 1</x:v>
      </x:c>
      <x:c r="E2" s="38" t="str">
        <x:v>Draft</x:v>
      </x:c>
      <x:c r="F2" s="38" t="str"/>
    </x:row>
    <x:row r="3">
      <x:c r="A3" s="38" t="str">
        <x:v>City Unlock</x:v>
      </x:c>
      <x:c r="B3" s="38" t="str">
        <x:v>Data/Economy</x:v>
      </x:c>
      <x:c r="C3" s="38" t="str">
        <x:v>P1</x:v>
      </x:c>
      <x:c r="D3" s="38" t="str">
        <x:v>Sprint 1-3</x:v>
      </x:c>
      <x:c r="E3" s="38" t="str">
        <x:v>Ready</x:v>
      </x:c>
      <x:c r="F3" s="38" t="str">
        <x:v>Pass</x:v>
      </x:c>
    </x:row>
    <x:row r="4">
      <x:c r="A4" s="38" t="str">
        <x:v>Goals Reward</x:v>
      </x:c>
      <x:c r="B4" s="38" t="str">
        <x:v>QA/QC</x:v>
      </x:c>
      <x:c r="D4" s="38" t="str">
        <x:v>Sprint 2</x:v>
      </x:c>
      <x:c r="E4" s="38" t="str">
        <x:v>In Progress</x:v>
      </x:c>
      <x:c r="F4" s="38" t="str">
        <x:v>Fail</x:v>
      </x:c>
    </x:row>
    <x:row r="5">
      <x:c r="A5" s="38" t="str">
        <x:v>Inventory Command</x:v>
      </x:c>
      <x:c r="B5" s="38" t="str">
        <x:v>UI</x:v>
      </x:c>
      <x:c r="D5" s="38" t="str">
        <x:v>Sprint 3</x:v>
      </x:c>
      <x:c r="E5" s="38" t="str">
        <x:v>Blocked</x:v>
      </x:c>
      <x:c r="F5" s="38" t="str">
        <x:v>N/A</x:v>
      </x:c>
    </x:row>
    <x:row r="6">
      <x:c r="A6" s="38" t="str">
        <x:v>Nền tảng</x:v>
      </x:c>
      <x:c r="B6" s="38" t="str">
        <x:v>Unreal Integration</x:v>
      </x:c>
      <x:c r="E6" s="38" t="str">
        <x:v>Review</x:v>
      </x:c>
    </x:row>
    <x:row r="7">
      <x:c r="A7" s="38" t="str">
        <x:v>Performance Upgrade</x:v>
      </x:c>
      <x:c r="E7" s="38" t="str">
        <x:v>Done</x:v>
      </x:c>
    </x:row>
    <x:row r="8">
      <x:c r="A8" s="38" t="str">
        <x:v>QC &amp; Handover</x:v>
      </x:c>
      <x:c r="E8" s="38" t="str">
        <x:v>Dropped</x:v>
      </x:c>
    </x:row>
    <x:row r="9">
      <x:c r="A9" s="38" t="str">
        <x:v>Race Authority</x:v>
      </x:c>
    </x:row>
    <x:row r="10">
      <x:c r="A10" s="38" t="str">
        <x:v>Reward Ledger</x:v>
      </x:c>
    </x:row>
    <x:row r="11">
      <x:c r="A11" s="38" t="str">
        <x:v>Reward UI</x:v>
      </x:c>
    </x:row>
    <x:row r="12">
      <x:c r="A12" s="38" t="str">
        <x:v>Token/Loot MVP</x:v>
      </x:c>
    </x:row>
    <x:row r="13">
      <x:c r="A13" s="38" t="str">
        <x:v>VN Tour Goals</x:v>
      </x:c>
    </x:row>
    <x:row r="14">
      <x:c r="A14" s="38" t="str">
        <x:v>Visual Customize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2" customHeight="1">
      <x:c r="A1" s="74" t="str">
        <x:v>Hướng dẫn sử dụng file Progression US Tracker</x:v>
      </x:c>
      <x:c r="B1" s="74"/>
      <x:c r="C1" s="74"/>
      <x:c r="D1" s="74"/>
      <x:c r="E1" s="74"/>
    </x:row>
    <x:row r="3">
      <x:c r="A3" s="33" t="str">
        <x:v>Mục</x:v>
      </x:c>
      <x:c r="B3" s="33" t="str">
        <x:v>Nội dung</x:v>
      </x:c>
    </x:row>
    <x:row r="4" ht="42" customHeight="1">
      <x:c r="A4" s="77" t="str">
        <x:v>US Tracker</x:v>
      </x:c>
      <x:c r="B4" s="77" t="str">
        <x:v>Sheet chính để cập nhật US. Các cột Trạng thái, QC Sign-off, Owner, Ngày cập nhật được thêm để quản lý tiến độ.</x:v>
      </x:c>
    </x:row>
    <x:row r="5" ht="42" customHeight="1">
      <x:c r="A5" s="77" t="str">
        <x:v>Dashboard</x:v>
      </x:c>
      <x:c r="B5" s="77" t="str">
        <x:v>Tổng hợp tự động theo ưu tiên, Sprint và vai trò chính.</x:v>
      </x:c>
    </x:row>
    <x:row r="6" ht="42" customHeight="1">
      <x:c r="A6" s="77" t="str">
        <x:v>Lists</x:v>
      </x:c>
      <x:c r="B6" s="77" t="str">
        <x:v>Nguồn dropdown cho các trường chuẩn hoá. Có thể bổ sung thêm giá trị nếu team cần.</x:v>
      </x:c>
    </x:row>
    <x:row r="7" ht="42" customHeight="1">
      <x:c r="A7" s="77" t="str">
        <x:v>Style</x:v>
      </x:c>
      <x:c r="B7" s="77" t="str">
        <x:v>Format chuyên nghiệp, nền trắng, không kẻ sọc/zebra rows; chỉ dùng highlight có điều kiện cho P0/P1, trạng thái và QC.</x:v>
      </x:c>
    </x:row>
    <x:row r="8" ht="42" customHeight="1">
      <x:c r="A8" s="77"/>
      <x:c r="B8" s="77"/>
    </x:row>
  </x:sheetData>
  <x:mergeCells>
    <x:mergeCell ref="A1:E1"/>
  </x:mergeCells>
  <x:pageMargins left="0.7" right="0.7" top="0.75" bottom="0.75" header="0.3" footer="0.3"/>
</x:worksheet>
</file>